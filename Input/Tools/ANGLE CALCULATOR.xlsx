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ildersfirstsource-my.sharepoint.com/personal/brandon_m_smith_bldr_com/Documents/Desktop/"/>
    </mc:Choice>
  </mc:AlternateContent>
  <xr:revisionPtr revIDLastSave="265" documentId="14_{40CFE5E1-1BD7-41E1-96E0-B34E024AED0A}" xr6:coauthVersionLast="47" xr6:coauthVersionMax="47" xr10:uidLastSave="{266CF888-F410-4C0E-B0A4-9C345FD1A25D}"/>
  <bookViews>
    <workbookView xWindow="-14505" yWindow="30" windowWidth="14610" windowHeight="15585" tabRatio="759" xr2:uid="{2EAD0A86-6CDC-48F8-8EFE-9210B7119749}"/>
  </bookViews>
  <sheets>
    <sheet name="General Triangle" sheetId="43" r:id="rId1"/>
    <sheet name="Right Triangle" sheetId="44" r:id="rId2"/>
    <sheet name="Oblique Triangle" sheetId="45" r:id="rId3"/>
  </sheets>
  <definedNames>
    <definedName name="_xlnm.Print_Area" localSheetId="0">'General Triangle'!$D$245:$P$252</definedName>
    <definedName name="_xlnm.Print_Area" localSheetId="2">'Oblique Triangle'!$A$1:$O$40</definedName>
    <definedName name="_xlnm.Print_Area" localSheetId="1">'Right Triangle'!$A$1:$P$44</definedName>
  </definedNames>
  <calcPr calcId="191029" iterate="1" iterateCount="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5" l="1"/>
  <c r="G7" i="45"/>
  <c r="H7" i="45"/>
  <c r="I7" i="45"/>
  <c r="F10" i="45"/>
  <c r="G10" i="45"/>
  <c r="H10" i="45"/>
  <c r="I10" i="45"/>
  <c r="F13" i="45"/>
  <c r="G13" i="45"/>
  <c r="H13" i="45"/>
  <c r="I13" i="45"/>
  <c r="F16" i="45"/>
  <c r="G16" i="45"/>
  <c r="H16" i="45"/>
  <c r="I16" i="45"/>
  <c r="F19" i="45"/>
  <c r="G19" i="45"/>
  <c r="H19" i="45"/>
  <c r="I19" i="45"/>
  <c r="F22" i="45"/>
  <c r="G22" i="45"/>
  <c r="H22" i="45"/>
  <c r="I22" i="45"/>
  <c r="E7" i="44"/>
  <c r="F7" i="44"/>
  <c r="G7" i="44"/>
  <c r="H7" i="44"/>
  <c r="I7" i="44"/>
  <c r="J7" i="44"/>
  <c r="E10" i="44"/>
  <c r="F10" i="44"/>
  <c r="G10" i="44"/>
  <c r="H10" i="44"/>
  <c r="I10" i="44"/>
  <c r="J10" i="44"/>
  <c r="E13" i="44"/>
  <c r="F13" i="44"/>
  <c r="G13" i="44"/>
  <c r="H13" i="44"/>
  <c r="I13" i="44"/>
  <c r="J13" i="44"/>
  <c r="E16" i="44"/>
  <c r="F16" i="44"/>
  <c r="G16" i="44"/>
  <c r="H16" i="44"/>
  <c r="I16" i="44"/>
  <c r="J16" i="44"/>
  <c r="E19" i="44"/>
  <c r="F19" i="44"/>
  <c r="G19" i="44"/>
  <c r="H19" i="44"/>
  <c r="I19" i="44"/>
  <c r="J19" i="44"/>
  <c r="E22" i="44"/>
  <c r="F22" i="44"/>
  <c r="G22" i="44"/>
  <c r="H22" i="44"/>
  <c r="I22" i="44"/>
  <c r="J22" i="44"/>
  <c r="E25" i="44"/>
  <c r="F25" i="44"/>
  <c r="G25" i="44"/>
  <c r="H25" i="44"/>
  <c r="I25" i="44"/>
  <c r="J25" i="44"/>
  <c r="E28" i="44"/>
  <c r="F28" i="44"/>
  <c r="G28" i="44"/>
  <c r="H28" i="44"/>
  <c r="I28" i="44"/>
  <c r="J28" i="44"/>
  <c r="E31" i="44"/>
  <c r="F31" i="44"/>
  <c r="G31" i="44"/>
  <c r="H31" i="44"/>
  <c r="I31" i="44"/>
  <c r="J31" i="44"/>
  <c r="I247" i="43"/>
  <c r="K247" i="43"/>
  <c r="M247" i="43"/>
  <c r="D2" i="43" s="1"/>
  <c r="N247" i="43"/>
  <c r="L247" i="43" l="1"/>
  <c r="O246" i="4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Tomanovich, P.E.</author>
  </authors>
  <commentList>
    <comment ref="Q1" authorId="0" shapeId="0" xr:uid="{6E8E0180-C6B6-4095-AE6A-71E8CC4C03C2}">
      <text>
        <r>
          <rPr>
            <b/>
            <sz val="8"/>
            <color indexed="81"/>
            <rFont val="Tahoma"/>
            <family val="2"/>
          </rPr>
          <t xml:space="preserve">            "TRIANGLE.xls"</t>
        </r>
        <r>
          <rPr>
            <sz val="8"/>
            <color indexed="81"/>
            <rFont val="Tahoma"/>
            <family val="2"/>
          </rPr>
          <t xml:space="preserve">
written by: Alex Tomanovich, P.E.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Tomanovich, P.E.</author>
  </authors>
  <commentList>
    <comment ref="P1" authorId="0" shapeId="0" xr:uid="{5F50B343-CFD6-4DC7-A1C6-79F35ACB15E4}">
      <text>
        <r>
          <rPr>
            <b/>
            <sz val="8"/>
            <color indexed="81"/>
            <rFont val="Tahoma"/>
            <family val="2"/>
          </rPr>
          <t xml:space="preserve">            "TRIANGLE.xls"</t>
        </r>
        <r>
          <rPr>
            <sz val="8"/>
            <color indexed="81"/>
            <rFont val="Tahoma"/>
            <family val="2"/>
          </rPr>
          <t xml:space="preserve">
written by: Alex Tomanovich, P.E.</t>
        </r>
      </text>
    </comment>
  </commentList>
</comments>
</file>

<file path=xl/sharedStrings.xml><?xml version="1.0" encoding="utf-8"?>
<sst xmlns="http://schemas.openxmlformats.org/spreadsheetml/2006/main" count="176" uniqueCount="55">
  <si>
    <t>Input:</t>
  </si>
  <si>
    <t>Results:</t>
  </si>
  <si>
    <t>a</t>
  </si>
  <si>
    <t>b</t>
  </si>
  <si>
    <t>c</t>
  </si>
  <si>
    <t>Version 1.0</t>
  </si>
  <si>
    <t>Right Triangle Nomenclature</t>
  </si>
  <si>
    <r>
      <t>L</t>
    </r>
    <r>
      <rPr>
        <b/>
        <sz val="8"/>
        <color indexed="8"/>
        <rFont val="Arial"/>
        <family val="2"/>
      </rPr>
      <t>A</t>
    </r>
  </si>
  <si>
    <r>
      <t>L</t>
    </r>
    <r>
      <rPr>
        <b/>
        <sz val="8"/>
        <color indexed="8"/>
        <rFont val="Arial"/>
        <family val="2"/>
      </rPr>
      <t>B</t>
    </r>
  </si>
  <si>
    <r>
      <t>L</t>
    </r>
    <r>
      <rPr>
        <b/>
        <sz val="8"/>
        <color indexed="8"/>
        <rFont val="Arial"/>
        <family val="2"/>
      </rPr>
      <t>C</t>
    </r>
  </si>
  <si>
    <t>(Oblique triangle with all angles &lt; 90 degrees.)</t>
  </si>
  <si>
    <t>(Oblique triangle with one angle &gt; 90 degrees.)</t>
  </si>
  <si>
    <t>RIGHT TRIANGLE SOLUTIONS:</t>
  </si>
  <si>
    <t>OBLIQUE TRIANGLE SOLUTIONS:</t>
  </si>
  <si>
    <t>Area</t>
  </si>
  <si>
    <t>% Slope</t>
  </si>
  <si>
    <t>Acute Triangle Nomenclature</t>
  </si>
  <si>
    <t>Obtuse Triangle Nomenclature</t>
  </si>
  <si>
    <r>
      <t>Note:</t>
    </r>
    <r>
      <rPr>
        <sz val="10"/>
        <color indexed="12"/>
        <rFont val="Arial"/>
        <family val="2"/>
      </rPr>
      <t xml:space="preserve">  This worksheet may also be used for a Right triangle, a</t>
    </r>
  </si>
  <si>
    <t xml:space="preserve">           non-Oblique triangle with one angle = 90 degrees.</t>
  </si>
  <si>
    <t xml:space="preserve">          side and angle nomenclature above.</t>
  </si>
  <si>
    <r>
      <t>S</t>
    </r>
    <r>
      <rPr>
        <b/>
        <sz val="8"/>
        <rFont val="Arial"/>
        <family val="2"/>
      </rPr>
      <t>2</t>
    </r>
    <r>
      <rPr>
        <b/>
        <sz val="10"/>
        <rFont val="Arial"/>
        <family val="2"/>
      </rPr>
      <t xml:space="preserve"> = b</t>
    </r>
  </si>
  <si>
    <r>
      <t>L</t>
    </r>
    <r>
      <rPr>
        <b/>
        <sz val="8"/>
        <rFont val="Arial"/>
        <family val="2"/>
      </rPr>
      <t>B</t>
    </r>
  </si>
  <si>
    <r>
      <t>S</t>
    </r>
    <r>
      <rPr>
        <b/>
        <sz val="8"/>
        <rFont val="Arial"/>
        <family val="2"/>
      </rPr>
      <t>1</t>
    </r>
    <r>
      <rPr>
        <b/>
        <sz val="10"/>
        <rFont val="Arial"/>
        <family val="2"/>
      </rPr>
      <t xml:space="preserve"> =a</t>
    </r>
  </si>
  <si>
    <r>
      <t>L</t>
    </r>
    <r>
      <rPr>
        <b/>
        <sz val="8"/>
        <rFont val="Arial"/>
        <family val="2"/>
      </rPr>
      <t>1</t>
    </r>
    <r>
      <rPr>
        <b/>
        <sz val="10"/>
        <rFont val="Arial"/>
        <family val="2"/>
      </rPr>
      <t xml:space="preserve"> = </t>
    </r>
    <r>
      <rPr>
        <b/>
        <i/>
        <sz val="10"/>
        <rFont val="Arial"/>
        <family val="2"/>
      </rPr>
      <t>L</t>
    </r>
    <r>
      <rPr>
        <b/>
        <sz val="8"/>
        <rFont val="Arial"/>
        <family val="2"/>
      </rPr>
      <t>C</t>
    </r>
  </si>
  <si>
    <r>
      <t>Note:</t>
    </r>
    <r>
      <rPr>
        <sz val="10"/>
        <color indexed="12"/>
        <rFont val="Arial"/>
        <family val="2"/>
      </rPr>
      <t xml:space="preserve"> Input and results strictly adhere to</t>
    </r>
  </si>
  <si>
    <t>Law of Sines:</t>
  </si>
  <si>
    <r>
      <t>a/SIN(</t>
    </r>
    <r>
      <rPr>
        <i/>
        <sz val="10"/>
        <rFont val="Arial"/>
        <family val="2"/>
      </rPr>
      <t>L</t>
    </r>
    <r>
      <rPr>
        <sz val="10"/>
        <rFont val="Arial"/>
      </rPr>
      <t>A) = b/SIN(</t>
    </r>
    <r>
      <rPr>
        <i/>
        <sz val="10"/>
        <rFont val="Arial"/>
        <family val="2"/>
      </rPr>
      <t>L</t>
    </r>
    <r>
      <rPr>
        <sz val="10"/>
        <rFont val="Arial"/>
      </rPr>
      <t>B) = c/SIN(</t>
    </r>
    <r>
      <rPr>
        <i/>
        <sz val="10"/>
        <rFont val="Arial"/>
        <family val="2"/>
      </rPr>
      <t>L</t>
    </r>
    <r>
      <rPr>
        <sz val="10"/>
        <rFont val="Arial"/>
      </rPr>
      <t>C)</t>
    </r>
  </si>
  <si>
    <t>Law of Cosines:</t>
  </si>
  <si>
    <r>
      <t>a^2 = b^2 + c^2 - 2*b*c*COS(</t>
    </r>
    <r>
      <rPr>
        <i/>
        <sz val="10"/>
        <rFont val="Arial"/>
        <family val="2"/>
      </rPr>
      <t>L</t>
    </r>
    <r>
      <rPr>
        <sz val="10"/>
        <rFont val="Arial"/>
      </rPr>
      <t>A)</t>
    </r>
  </si>
  <si>
    <r>
      <t>b^2 = a^2 + c^2 - 2*a*c*COS(</t>
    </r>
    <r>
      <rPr>
        <i/>
        <sz val="10"/>
        <rFont val="Arial"/>
        <family val="2"/>
      </rPr>
      <t>L</t>
    </r>
    <r>
      <rPr>
        <sz val="10"/>
        <rFont val="Arial"/>
      </rPr>
      <t>B)</t>
    </r>
  </si>
  <si>
    <r>
      <t>c^2 = a^2 + b^2 - 2*a*b*COS(</t>
    </r>
    <r>
      <rPr>
        <i/>
        <sz val="10"/>
        <rFont val="Arial"/>
        <family val="2"/>
      </rPr>
      <t>L</t>
    </r>
    <r>
      <rPr>
        <sz val="10"/>
        <rFont val="Arial"/>
      </rPr>
      <t>C)</t>
    </r>
  </si>
  <si>
    <t>For Acute Angle:</t>
  </si>
  <si>
    <t>For Obtuse Angle:</t>
  </si>
  <si>
    <t>Pythagorean Theorem for Right Triangle:</t>
  </si>
  <si>
    <t>a^2 + b^2 = c^2</t>
  </si>
  <si>
    <t>(all of following are satisfied)</t>
  </si>
  <si>
    <t>(only one of following is satified)</t>
  </si>
  <si>
    <t>either  a^2 + b^2 &lt; c^2  ,  or  b^2 + c^2 &lt; a^2  ,  or  a^2 + c^2 &lt; b^2</t>
  </si>
  <si>
    <t>a^2 + b^2 &gt; c^2  ,  b^2 + c^2 &gt; a^2  ,  and  a^2 + c^2 &gt; b^2</t>
  </si>
  <si>
    <t>Isoceles Right Triangle:</t>
  </si>
  <si>
    <r>
      <t>L</t>
    </r>
    <r>
      <rPr>
        <sz val="10"/>
        <rFont val="Arial"/>
      </rPr>
      <t xml:space="preserve">A = 45 deg.  ,  </t>
    </r>
    <r>
      <rPr>
        <i/>
        <sz val="10"/>
        <rFont val="Arial"/>
        <family val="2"/>
      </rPr>
      <t>L</t>
    </r>
    <r>
      <rPr>
        <sz val="10"/>
        <rFont val="Arial"/>
      </rPr>
      <t xml:space="preserve">B = 45 deg.  ,  and  </t>
    </r>
    <r>
      <rPr>
        <i/>
        <sz val="10"/>
        <rFont val="Arial"/>
        <family val="2"/>
      </rPr>
      <t>L</t>
    </r>
    <r>
      <rPr>
        <sz val="10"/>
        <rFont val="Arial"/>
      </rPr>
      <t>C = 90 deg.</t>
    </r>
  </si>
  <si>
    <t>a = b  ,  and  c = SQRT(2)*a</t>
  </si>
  <si>
    <t>30-60-90 Right Triangle:</t>
  </si>
  <si>
    <r>
      <t>L</t>
    </r>
    <r>
      <rPr>
        <sz val="10"/>
        <rFont val="Arial"/>
      </rPr>
      <t xml:space="preserve">A = 30 deg.  , </t>
    </r>
    <r>
      <rPr>
        <i/>
        <sz val="10"/>
        <rFont val="Arial"/>
        <family val="2"/>
      </rPr>
      <t xml:space="preserve"> L</t>
    </r>
    <r>
      <rPr>
        <sz val="10"/>
        <rFont val="Arial"/>
      </rPr>
      <t xml:space="preserve">B = 60 deg.  ,  and  </t>
    </r>
    <r>
      <rPr>
        <i/>
        <sz val="10"/>
        <rFont val="Arial"/>
        <family val="2"/>
      </rPr>
      <t>L</t>
    </r>
    <r>
      <rPr>
        <sz val="10"/>
        <rFont val="Arial"/>
      </rPr>
      <t>C = 90 deg.</t>
    </r>
  </si>
  <si>
    <t>b = SQRT(3)*a  ,  and  c = 2*a</t>
  </si>
  <si>
    <r>
      <t>L</t>
    </r>
    <r>
      <rPr>
        <sz val="10"/>
        <rFont val="Arial"/>
      </rPr>
      <t xml:space="preserve">A = 60 deg.  , </t>
    </r>
    <r>
      <rPr>
        <i/>
        <sz val="10"/>
        <rFont val="Arial"/>
        <family val="2"/>
      </rPr>
      <t xml:space="preserve"> L</t>
    </r>
    <r>
      <rPr>
        <sz val="10"/>
        <rFont val="Arial"/>
      </rPr>
      <t xml:space="preserve">B = 30 deg.  ,  and  </t>
    </r>
    <r>
      <rPr>
        <i/>
        <sz val="10"/>
        <rFont val="Arial"/>
        <family val="2"/>
      </rPr>
      <t>L</t>
    </r>
    <r>
      <rPr>
        <sz val="10"/>
        <rFont val="Arial"/>
      </rPr>
      <t>C = 90 deg.</t>
    </r>
  </si>
  <si>
    <t>a = SQRT(3)*b  ,  and  c = 2*b</t>
  </si>
  <si>
    <t xml:space="preserve">  or:</t>
  </si>
  <si>
    <r>
      <t>Area = a*c*SIN(</t>
    </r>
    <r>
      <rPr>
        <i/>
        <sz val="10"/>
        <rFont val="Arial"/>
        <family val="2"/>
      </rPr>
      <t>L</t>
    </r>
    <r>
      <rPr>
        <sz val="10"/>
        <rFont val="Arial"/>
      </rPr>
      <t>B)/2 = b*c*SIN(</t>
    </r>
    <r>
      <rPr>
        <i/>
        <sz val="10"/>
        <rFont val="Arial"/>
        <family val="2"/>
      </rPr>
      <t>L</t>
    </r>
    <r>
      <rPr>
        <sz val="10"/>
        <rFont val="Arial"/>
      </rPr>
      <t>A)/2 = a*b*SIN(</t>
    </r>
    <r>
      <rPr>
        <i/>
        <sz val="10"/>
        <rFont val="Arial"/>
        <family val="2"/>
      </rPr>
      <t>L</t>
    </r>
    <r>
      <rPr>
        <sz val="10"/>
        <rFont val="Arial"/>
      </rPr>
      <t>C)/2</t>
    </r>
  </si>
  <si>
    <t>Area of Triangle:</t>
  </si>
  <si>
    <t>ANGLE(90)</t>
  </si>
  <si>
    <t>ROTATION ANGLE</t>
  </si>
  <si>
    <t>OUT OF SQUARE MEASURMENT</t>
  </si>
  <si>
    <t>SIDE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</si>
</sst>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&quot;$&quot;#,##0\ ;\(&quot;$&quot;#,##0\)"/>
  </numFmts>
  <fonts count="36" x14ac:knownFonts="1">
    <font>
      <sz val="10"/>
      <name val="Arial"/>
    </font>
    <font>
      <sz val="10"/>
      <name val="Arial"/>
    </font>
    <font>
      <sz val="10"/>
      <color indexed="12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u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0"/>
      <color indexed="12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8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10"/>
      <color indexed="12"/>
      <name val="Arial"/>
      <family val="2"/>
    </font>
    <font>
      <b/>
      <u/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b/>
      <sz val="10"/>
      <color indexed="12"/>
      <name val="Arial"/>
      <family val="2"/>
    </font>
    <font>
      <b/>
      <u/>
      <sz val="12"/>
      <color indexed="8"/>
      <name val="Arial"/>
      <family val="2"/>
    </font>
    <font>
      <sz val="8"/>
      <name val="Arial"/>
      <family val="2"/>
    </font>
    <font>
      <b/>
      <u/>
      <sz val="10"/>
      <color indexed="12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2"/>
      <name val="Arial"/>
      <family val="2"/>
    </font>
    <font>
      <b/>
      <sz val="22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3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1" fillId="0" borderId="1" applyNumberFormat="0" applyFont="0" applyFill="0" applyAlignment="0" applyProtection="0"/>
  </cellStyleXfs>
  <cellXfs count="96">
    <xf numFmtId="0" fontId="0" fillId="0" borderId="0" xfId="0"/>
    <xf numFmtId="0" fontId="0" fillId="2" borderId="0" xfId="0" applyFill="1" applyProtection="1">
      <protection hidden="1"/>
    </xf>
    <xf numFmtId="0" fontId="0" fillId="2" borderId="2" xfId="0" applyFill="1" applyBorder="1" applyProtection="1">
      <protection hidden="1"/>
    </xf>
    <xf numFmtId="0" fontId="14" fillId="2" borderId="3" xfId="0" applyFont="1" applyFill="1" applyBorder="1" applyProtection="1">
      <protection hidden="1"/>
    </xf>
    <xf numFmtId="0" fontId="0" fillId="2" borderId="4" xfId="0" applyFill="1" applyBorder="1" applyProtection="1">
      <protection hidden="1"/>
    </xf>
    <xf numFmtId="0" fontId="0" fillId="2" borderId="5" xfId="0" applyFill="1" applyBorder="1" applyProtection="1">
      <protection hidden="1"/>
    </xf>
    <xf numFmtId="0" fontId="2" fillId="2" borderId="0" xfId="0" applyFont="1" applyFill="1" applyAlignment="1" applyProtection="1">
      <alignment horizontal="right"/>
      <protection hidden="1"/>
    </xf>
    <xf numFmtId="0" fontId="4" fillId="2" borderId="0" xfId="0" applyFont="1" applyFill="1" applyAlignment="1" applyProtection="1">
      <alignment horizontal="centerContinuous"/>
      <protection hidden="1"/>
    </xf>
    <xf numFmtId="0" fontId="18" fillId="0" borderId="0" xfId="0" applyFont="1" applyAlignment="1" applyProtection="1">
      <alignment horizontal="left"/>
      <protection hidden="1"/>
    </xf>
    <xf numFmtId="0" fontId="19" fillId="3" borderId="6" xfId="0" applyFont="1" applyFill="1" applyBorder="1" applyAlignment="1" applyProtection="1">
      <alignment horizontal="center"/>
      <protection hidden="1"/>
    </xf>
    <xf numFmtId="164" fontId="21" fillId="0" borderId="6" xfId="0" applyNumberFormat="1" applyFont="1" applyBorder="1" applyAlignment="1" applyProtection="1">
      <alignment horizontal="center"/>
      <protection hidden="1"/>
    </xf>
    <xf numFmtId="0" fontId="21" fillId="0" borderId="6" xfId="0" applyFont="1" applyBorder="1" applyAlignment="1" applyProtection="1">
      <alignment horizontal="center"/>
      <protection hidden="1"/>
    </xf>
    <xf numFmtId="0" fontId="20" fillId="3" borderId="6" xfId="0" applyFont="1" applyFill="1" applyBorder="1" applyAlignment="1" applyProtection="1">
      <alignment horizontal="center"/>
      <protection hidden="1"/>
    </xf>
    <xf numFmtId="0" fontId="21" fillId="4" borderId="6" xfId="0" applyFont="1" applyFill="1" applyBorder="1" applyAlignment="1" applyProtection="1">
      <alignment horizontal="center"/>
      <protection locked="0"/>
    </xf>
    <xf numFmtId="0" fontId="23" fillId="3" borderId="6" xfId="0" applyFont="1" applyFill="1" applyBorder="1" applyAlignment="1" applyProtection="1">
      <alignment horizontal="center"/>
      <protection hidden="1"/>
    </xf>
    <xf numFmtId="0" fontId="1" fillId="0" borderId="0" xfId="0" applyFont="1" applyProtection="1">
      <protection hidden="1"/>
    </xf>
    <xf numFmtId="0" fontId="5" fillId="0" borderId="7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9" xfId="0" applyFont="1" applyBorder="1" applyProtection="1">
      <protection hidden="1"/>
    </xf>
    <xf numFmtId="0" fontId="22" fillId="0" borderId="4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0" fillId="0" borderId="4" xfId="0" applyFont="1" applyBorder="1" applyProtection="1">
      <protection hidden="1"/>
    </xf>
    <xf numFmtId="0" fontId="20" fillId="0" borderId="0" xfId="0" applyFont="1" applyAlignment="1" applyProtection="1">
      <alignment horizontal="center"/>
      <protection hidden="1"/>
    </xf>
    <xf numFmtId="0" fontId="1" fillId="2" borderId="0" xfId="0" applyFont="1" applyFill="1" applyProtection="1">
      <protection hidden="1"/>
    </xf>
    <xf numFmtId="0" fontId="1" fillId="0" borderId="5" xfId="0" applyFont="1" applyBorder="1" applyProtection="1">
      <protection hidden="1"/>
    </xf>
    <xf numFmtId="0" fontId="1" fillId="0" borderId="10" xfId="0" applyFont="1" applyBorder="1" applyProtection="1">
      <protection hidden="1"/>
    </xf>
    <xf numFmtId="0" fontId="1" fillId="0" borderId="11" xfId="0" applyFont="1" applyBorder="1" applyProtection="1">
      <protection hidden="1"/>
    </xf>
    <xf numFmtId="0" fontId="7" fillId="0" borderId="0" xfId="0" applyFont="1" applyProtection="1">
      <protection hidden="1"/>
    </xf>
    <xf numFmtId="0" fontId="25" fillId="0" borderId="0" xfId="0" applyFont="1" applyProtection="1">
      <protection hidden="1"/>
    </xf>
    <xf numFmtId="0" fontId="10" fillId="0" borderId="0" xfId="0" applyFont="1" applyProtection="1">
      <protection hidden="1"/>
    </xf>
    <xf numFmtId="0" fontId="3" fillId="0" borderId="0" xfId="0" applyFont="1" applyAlignment="1" applyProtection="1">
      <alignment horizontal="centerContinuous"/>
      <protection hidden="1"/>
    </xf>
    <xf numFmtId="0" fontId="7" fillId="0" borderId="0" xfId="0" applyFont="1" applyAlignment="1" applyProtection="1">
      <alignment horizontal="centerContinuous"/>
      <protection hidden="1"/>
    </xf>
    <xf numFmtId="0" fontId="24" fillId="0" borderId="0" xfId="0" applyFont="1" applyAlignment="1" applyProtection="1">
      <alignment horizontal="centerContinuous"/>
      <protection hidden="1"/>
    </xf>
    <xf numFmtId="0" fontId="19" fillId="0" borderId="0" xfId="0" applyFont="1" applyAlignment="1" applyProtection="1">
      <alignment horizontal="center"/>
      <protection hidden="1"/>
    </xf>
    <xf numFmtId="164" fontId="21" fillId="0" borderId="0" xfId="0" applyNumberFormat="1" applyFont="1" applyAlignment="1" applyProtection="1">
      <alignment horizontal="center"/>
      <protection hidden="1"/>
    </xf>
    <xf numFmtId="0" fontId="2" fillId="0" borderId="0" xfId="0" applyFont="1" applyProtection="1">
      <protection hidden="1"/>
    </xf>
    <xf numFmtId="164" fontId="2" fillId="0" borderId="0" xfId="0" applyNumberFormat="1" applyFont="1" applyAlignment="1" applyProtection="1">
      <alignment horizontal="center"/>
      <protection hidden="1"/>
    </xf>
    <xf numFmtId="0" fontId="21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0" fontId="27" fillId="0" borderId="0" xfId="0" applyFont="1" applyAlignment="1" applyProtection="1">
      <alignment horizontal="center"/>
      <protection hidden="1"/>
    </xf>
    <xf numFmtId="164" fontId="27" fillId="0" borderId="0" xfId="0" applyNumberFormat="1" applyFont="1" applyAlignment="1" applyProtection="1">
      <alignment horizontal="center"/>
      <protection hidden="1"/>
    </xf>
    <xf numFmtId="164" fontId="27" fillId="4" borderId="6" xfId="0" applyNumberFormat="1" applyFont="1" applyFill="1" applyBorder="1" applyAlignment="1" applyProtection="1">
      <alignment horizontal="center"/>
      <protection locked="0"/>
    </xf>
    <xf numFmtId="164" fontId="27" fillId="0" borderId="6" xfId="0" applyNumberFormat="1" applyFont="1" applyBorder="1" applyAlignment="1" applyProtection="1">
      <alignment horizontal="center"/>
      <protection hidden="1"/>
    </xf>
    <xf numFmtId="0" fontId="24" fillId="3" borderId="6" xfId="0" applyFont="1" applyFill="1" applyBorder="1" applyAlignment="1" applyProtection="1">
      <alignment horizontal="center"/>
      <protection hidden="1"/>
    </xf>
    <xf numFmtId="0" fontId="28" fillId="0" borderId="7" xfId="0" applyFont="1" applyBorder="1" applyProtection="1">
      <protection hidden="1"/>
    </xf>
    <xf numFmtId="0" fontId="26" fillId="0" borderId="4" xfId="0" applyFont="1" applyBorder="1" applyProtection="1">
      <protection hidden="1"/>
    </xf>
    <xf numFmtId="0" fontId="19" fillId="0" borderId="2" xfId="0" applyFont="1" applyBorder="1" applyAlignment="1" applyProtection="1">
      <alignment horizontal="center"/>
      <protection hidden="1"/>
    </xf>
    <xf numFmtId="0" fontId="18" fillId="0" borderId="4" xfId="0" applyFont="1" applyBorder="1" applyAlignment="1" applyProtection="1">
      <alignment horizontal="left"/>
      <protection hidden="1"/>
    </xf>
    <xf numFmtId="0" fontId="19" fillId="0" borderId="0" xfId="0" applyFont="1" applyAlignment="1" applyProtection="1">
      <alignment horizontal="left"/>
      <protection hidden="1"/>
    </xf>
    <xf numFmtId="0" fontId="19" fillId="0" borderId="10" xfId="0" applyFont="1" applyBorder="1" applyAlignment="1" applyProtection="1">
      <alignment horizontal="center"/>
      <protection hidden="1"/>
    </xf>
    <xf numFmtId="0" fontId="19" fillId="0" borderId="11" xfId="0" applyFont="1" applyBorder="1" applyAlignment="1" applyProtection="1">
      <alignment horizontal="center"/>
      <protection hidden="1"/>
    </xf>
    <xf numFmtId="0" fontId="29" fillId="0" borderId="0" xfId="0" applyFont="1" applyAlignment="1" applyProtection="1">
      <alignment horizontal="centerContinuous"/>
      <protection hidden="1"/>
    </xf>
    <xf numFmtId="0" fontId="19" fillId="0" borderId="0" xfId="0" applyFont="1" applyAlignment="1" applyProtection="1">
      <alignment horizontal="centerContinuous"/>
      <protection hidden="1"/>
    </xf>
    <xf numFmtId="0" fontId="7" fillId="2" borderId="0" xfId="0" applyFont="1" applyFill="1" applyAlignment="1" applyProtection="1">
      <alignment horizontal="left"/>
      <protection hidden="1"/>
    </xf>
    <xf numFmtId="0" fontId="6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/>
      <protection hidden="1"/>
    </xf>
    <xf numFmtId="0" fontId="10" fillId="0" borderId="0" xfId="0" applyFont="1" applyAlignment="1" applyProtection="1">
      <alignment horizontal="left"/>
      <protection hidden="1"/>
    </xf>
    <xf numFmtId="0" fontId="1" fillId="0" borderId="0" xfId="0" applyFont="1" applyAlignment="1" applyProtection="1">
      <alignment horizontal="centerContinuous"/>
      <protection hidden="1"/>
    </xf>
    <xf numFmtId="0" fontId="30" fillId="0" borderId="7" xfId="0" applyFont="1" applyBorder="1" applyProtection="1">
      <protection hidden="1"/>
    </xf>
    <xf numFmtId="0" fontId="9" fillId="0" borderId="8" xfId="0" applyFont="1" applyBorder="1" applyProtection="1">
      <protection hidden="1"/>
    </xf>
    <xf numFmtId="0" fontId="9" fillId="0" borderId="9" xfId="0" applyFont="1" applyBorder="1" applyProtection="1">
      <protection hidden="1"/>
    </xf>
    <xf numFmtId="0" fontId="9" fillId="0" borderId="5" xfId="0" applyFont="1" applyBorder="1" applyProtection="1">
      <protection hidden="1"/>
    </xf>
    <xf numFmtId="0" fontId="9" fillId="0" borderId="10" xfId="0" applyFont="1" applyBorder="1" applyProtection="1">
      <protection hidden="1"/>
    </xf>
    <xf numFmtId="0" fontId="9" fillId="0" borderId="11" xfId="0" applyFont="1" applyBorder="1" applyProtection="1">
      <protection hidden="1"/>
    </xf>
    <xf numFmtId="0" fontId="9" fillId="0" borderId="8" xfId="0" applyFont="1" applyBorder="1" applyAlignment="1" applyProtection="1">
      <alignment horizontal="left"/>
      <protection hidden="1"/>
    </xf>
    <xf numFmtId="0" fontId="30" fillId="0" borderId="8" xfId="0" applyFont="1" applyBorder="1" applyProtection="1">
      <protection hidden="1"/>
    </xf>
    <xf numFmtId="0" fontId="0" fillId="0" borderId="8" xfId="0" applyBorder="1"/>
    <xf numFmtId="0" fontId="0" fillId="0" borderId="10" xfId="0" applyBorder="1"/>
    <xf numFmtId="0" fontId="24" fillId="3" borderId="6" xfId="0" applyFont="1" applyFill="1" applyBorder="1" applyAlignment="1">
      <alignment horizontal="center"/>
    </xf>
    <xf numFmtId="0" fontId="0" fillId="0" borderId="0" xfId="0" applyAlignment="1">
      <alignment horizontal="centerContinuous"/>
    </xf>
    <xf numFmtId="2" fontId="27" fillId="0" borderId="12" xfId="0" applyNumberFormat="1" applyFont="1" applyBorder="1" applyAlignment="1" applyProtection="1">
      <alignment horizontal="center"/>
      <protection hidden="1"/>
    </xf>
    <xf numFmtId="0" fontId="3" fillId="3" borderId="6" xfId="0" applyFont="1" applyFill="1" applyBorder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Continuous"/>
      <protection hidden="1"/>
    </xf>
    <xf numFmtId="0" fontId="0" fillId="2" borderId="0" xfId="0" applyFill="1" applyAlignment="1" applyProtection="1">
      <alignment horizontal="centerContinuous"/>
      <protection hidden="1"/>
    </xf>
    <xf numFmtId="164" fontId="27" fillId="2" borderId="6" xfId="0" applyNumberFormat="1" applyFont="1" applyFill="1" applyBorder="1" applyAlignment="1" applyProtection="1">
      <alignment horizontal="center"/>
      <protection hidden="1"/>
    </xf>
    <xf numFmtId="2" fontId="27" fillId="2" borderId="6" xfId="0" applyNumberFormat="1" applyFont="1" applyFill="1" applyBorder="1" applyAlignment="1" applyProtection="1">
      <alignment horizontal="center"/>
      <protection hidden="1"/>
    </xf>
    <xf numFmtId="0" fontId="32" fillId="3" borderId="6" xfId="0" applyFont="1" applyFill="1" applyBorder="1" applyAlignment="1" applyProtection="1">
      <alignment horizontal="center"/>
      <protection hidden="1"/>
    </xf>
    <xf numFmtId="0" fontId="7" fillId="2" borderId="2" xfId="0" applyFont="1" applyFill="1" applyBorder="1" applyProtection="1">
      <protection hidden="1"/>
    </xf>
    <xf numFmtId="0" fontId="7" fillId="2" borderId="0" xfId="0" applyFont="1" applyFill="1" applyAlignment="1" applyProtection="1">
      <alignment horizontal="centerContinuous"/>
      <protection hidden="1"/>
    </xf>
    <xf numFmtId="0" fontId="4" fillId="2" borderId="0" xfId="0" applyFont="1" applyFill="1" applyProtection="1">
      <protection hidden="1"/>
    </xf>
    <xf numFmtId="0" fontId="4" fillId="0" borderId="0" xfId="0" applyFont="1" applyProtection="1">
      <protection hidden="1"/>
    </xf>
    <xf numFmtId="164" fontId="1" fillId="0" borderId="0" xfId="0" applyNumberFormat="1" applyFont="1" applyProtection="1">
      <protection hidden="1"/>
    </xf>
    <xf numFmtId="0" fontId="33" fillId="0" borderId="0" xfId="0" applyFont="1" applyProtection="1">
      <protection hidden="1"/>
    </xf>
    <xf numFmtId="164" fontId="9" fillId="2" borderId="0" xfId="0" applyNumberFormat="1" applyFont="1" applyFill="1" applyProtection="1">
      <protection locked="0"/>
    </xf>
    <xf numFmtId="0" fontId="7" fillId="2" borderId="0" xfId="0" applyFont="1" applyFill="1" applyProtection="1">
      <protection hidden="1"/>
    </xf>
    <xf numFmtId="0" fontId="7" fillId="2" borderId="10" xfId="0" applyFont="1" applyFill="1" applyBorder="1" applyProtection="1">
      <protection hidden="1"/>
    </xf>
    <xf numFmtId="164" fontId="9" fillId="2" borderId="0" xfId="0" applyNumberFormat="1" applyFont="1" applyFill="1" applyProtection="1">
      <protection hidden="1"/>
    </xf>
    <xf numFmtId="2" fontId="9" fillId="2" borderId="0" xfId="0" applyNumberFormat="1" applyFont="1" applyFill="1" applyProtection="1">
      <protection hidden="1"/>
    </xf>
    <xf numFmtId="49" fontId="7" fillId="2" borderId="0" xfId="0" applyNumberFormat="1" applyFont="1" applyFill="1" applyProtection="1">
      <protection hidden="1"/>
    </xf>
    <xf numFmtId="0" fontId="7" fillId="2" borderId="11" xfId="0" applyFont="1" applyFill="1" applyBorder="1" applyProtection="1">
      <protection hidden="1"/>
    </xf>
    <xf numFmtId="2" fontId="8" fillId="2" borderId="0" xfId="0" applyNumberFormat="1" applyFont="1" applyFill="1" applyProtection="1">
      <protection hidden="1"/>
    </xf>
    <xf numFmtId="0" fontId="32" fillId="3" borderId="6" xfId="0" applyFont="1" applyFill="1" applyBorder="1" applyAlignment="1" applyProtection="1">
      <alignment horizontal="center"/>
      <protection locked="0" hidden="1"/>
    </xf>
    <xf numFmtId="0" fontId="34" fillId="2" borderId="0" xfId="0" applyFont="1" applyFill="1" applyProtection="1">
      <protection hidden="1"/>
    </xf>
    <xf numFmtId="164" fontId="35" fillId="4" borderId="6" xfId="0" applyNumberFormat="1" applyFont="1" applyFill="1" applyBorder="1" applyAlignment="1" applyProtection="1">
      <alignment horizontal="center"/>
      <protection locked="0"/>
    </xf>
    <xf numFmtId="164" fontId="35" fillId="2" borderId="6" xfId="0" applyNumberFormat="1" applyFont="1" applyFill="1" applyBorder="1" applyAlignment="1" applyProtection="1">
      <alignment horizontal="center"/>
      <protection hidden="1"/>
    </xf>
  </cellXfs>
  <cellStyles count="8">
    <cellStyle name="Comma0" xfId="1" xr:uid="{2E3B5E28-34D4-447F-8F7F-4BECEC15B47D}"/>
    <cellStyle name="Currency0" xfId="2" xr:uid="{10509D62-1A73-47D0-A030-2B0B7810A698}"/>
    <cellStyle name="Date" xfId="3" xr:uid="{32F7C794-4A9B-4590-8737-821523BEA19A}"/>
    <cellStyle name="Fixed" xfId="4" xr:uid="{B642C835-113C-4C78-A408-DBA86B62DBCC}"/>
    <cellStyle name="Heading 1" xfId="5" builtinId="16" customBuiltin="1"/>
    <cellStyle name="Heading 2" xfId="6" builtinId="17" customBuiltin="1"/>
    <cellStyle name="Normal" xfId="0" builtinId="0"/>
    <cellStyle name="Total" xfId="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5</xdr:row>
      <xdr:rowOff>57150</xdr:rowOff>
    </xdr:from>
    <xdr:to>
      <xdr:col>15</xdr:col>
      <xdr:colOff>28575</xdr:colOff>
      <xdr:row>11</xdr:row>
      <xdr:rowOff>133350</xdr:rowOff>
    </xdr:to>
    <xdr:sp macro="" textlink="">
      <xdr:nvSpPr>
        <xdr:cNvPr id="169694" name="AutoShape 1">
          <a:extLst>
            <a:ext uri="{FF2B5EF4-FFF2-40B4-BE49-F238E27FC236}">
              <a16:creationId xmlns:a16="http://schemas.microsoft.com/office/drawing/2014/main" id="{6AF160F7-D36E-51D2-5994-FC07D824A6ED}"/>
            </a:ext>
          </a:extLst>
        </xdr:cNvPr>
        <xdr:cNvSpPr>
          <a:spLocks noChangeArrowheads="1"/>
        </xdr:cNvSpPr>
      </xdr:nvSpPr>
      <xdr:spPr bwMode="auto">
        <a:xfrm>
          <a:off x="6753225" y="904875"/>
          <a:ext cx="2419350" cy="1047750"/>
        </a:xfrm>
        <a:prstGeom prst="rtTriangle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66675</xdr:colOff>
      <xdr:row>5</xdr:row>
      <xdr:rowOff>152400</xdr:rowOff>
    </xdr:from>
    <xdr:to>
      <xdr:col>11</xdr:col>
      <xdr:colOff>295275</xdr:colOff>
      <xdr:row>7</xdr:row>
      <xdr:rowOff>57150</xdr:rowOff>
    </xdr:to>
    <xdr:sp macro="" textlink="">
      <xdr:nvSpPr>
        <xdr:cNvPr id="169695" name="Arc 2">
          <a:extLst>
            <a:ext uri="{FF2B5EF4-FFF2-40B4-BE49-F238E27FC236}">
              <a16:creationId xmlns:a16="http://schemas.microsoft.com/office/drawing/2014/main" id="{C48C6DF6-EB0C-3887-5443-860A0FFD25C7}"/>
            </a:ext>
          </a:extLst>
        </xdr:cNvPr>
        <xdr:cNvSpPr>
          <a:spLocks/>
        </xdr:cNvSpPr>
      </xdr:nvSpPr>
      <xdr:spPr bwMode="auto">
        <a:xfrm rot="6023331">
          <a:off x="6772275" y="1000125"/>
          <a:ext cx="228600" cy="22860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371475</xdr:colOff>
      <xdr:row>10</xdr:row>
      <xdr:rowOff>19050</xdr:rowOff>
    </xdr:from>
    <xdr:to>
      <xdr:col>13</xdr:col>
      <xdr:colOff>600075</xdr:colOff>
      <xdr:row>11</xdr:row>
      <xdr:rowOff>85725</xdr:rowOff>
    </xdr:to>
    <xdr:sp macro="" textlink="">
      <xdr:nvSpPr>
        <xdr:cNvPr id="169696" name="Arc 3">
          <a:extLst>
            <a:ext uri="{FF2B5EF4-FFF2-40B4-BE49-F238E27FC236}">
              <a16:creationId xmlns:a16="http://schemas.microsoft.com/office/drawing/2014/main" id="{90607051-303B-CB1A-A781-6C9E88536B0D}"/>
            </a:ext>
          </a:extLst>
        </xdr:cNvPr>
        <xdr:cNvSpPr>
          <a:spLocks/>
        </xdr:cNvSpPr>
      </xdr:nvSpPr>
      <xdr:spPr bwMode="auto">
        <a:xfrm rot="-8100000">
          <a:off x="8296275" y="1676400"/>
          <a:ext cx="228600" cy="22860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161925</xdr:colOff>
      <xdr:row>10</xdr:row>
      <xdr:rowOff>19050</xdr:rowOff>
    </xdr:from>
    <xdr:to>
      <xdr:col>13</xdr:col>
      <xdr:colOff>419100</xdr:colOff>
      <xdr:row>11</xdr:row>
      <xdr:rowOff>28575</xdr:rowOff>
    </xdr:to>
    <xdr:sp macro="" textlink="">
      <xdr:nvSpPr>
        <xdr:cNvPr id="46084" name="Text Box 4">
          <a:extLst>
            <a:ext uri="{FF2B5EF4-FFF2-40B4-BE49-F238E27FC236}">
              <a16:creationId xmlns:a16="http://schemas.microsoft.com/office/drawing/2014/main" id="{949405C4-BE2F-1EFC-512D-95958FB2B1F6}"/>
            </a:ext>
          </a:extLst>
        </xdr:cNvPr>
        <xdr:cNvSpPr txBox="1">
          <a:spLocks noChangeArrowheads="1"/>
        </xdr:cNvSpPr>
      </xdr:nvSpPr>
      <xdr:spPr bwMode="auto">
        <a:xfrm>
          <a:off x="8086725" y="1676400"/>
          <a:ext cx="25717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1" u="none" strike="noStrike" baseline="0">
              <a:solidFill>
                <a:srgbClr val="0000FF"/>
              </a:solidFill>
              <a:latin typeface="Arial"/>
              <a:cs typeface="Arial"/>
            </a:rPr>
            <a:t>L</a:t>
          </a:r>
          <a:r>
            <a:rPr lang="en-US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 editAs="oneCell">
    <xdr:from>
      <xdr:col>11</xdr:col>
      <xdr:colOff>171450</xdr:colOff>
      <xdr:row>7</xdr:row>
      <xdr:rowOff>9525</xdr:rowOff>
    </xdr:from>
    <xdr:to>
      <xdr:col>11</xdr:col>
      <xdr:colOff>466725</xdr:colOff>
      <xdr:row>8</xdr:row>
      <xdr:rowOff>19050</xdr:rowOff>
    </xdr:to>
    <xdr:sp macro="" textlink="">
      <xdr:nvSpPr>
        <xdr:cNvPr id="46085" name="Text Box 5">
          <a:extLst>
            <a:ext uri="{FF2B5EF4-FFF2-40B4-BE49-F238E27FC236}">
              <a16:creationId xmlns:a16="http://schemas.microsoft.com/office/drawing/2014/main" id="{A0AA5898-EF23-E489-846A-20761456BBFF}"/>
            </a:ext>
          </a:extLst>
        </xdr:cNvPr>
        <xdr:cNvSpPr txBox="1">
          <a:spLocks noChangeArrowheads="1"/>
        </xdr:cNvSpPr>
      </xdr:nvSpPr>
      <xdr:spPr bwMode="auto">
        <a:xfrm>
          <a:off x="6877050" y="1181100"/>
          <a:ext cx="29527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1" u="none" strike="noStrike" baseline="0">
              <a:solidFill>
                <a:srgbClr val="0000FF"/>
              </a:solidFill>
              <a:latin typeface="Arial"/>
              <a:cs typeface="Arial"/>
            </a:rPr>
            <a:t>L</a:t>
          </a:r>
          <a:r>
            <a:rPr lang="en-US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 editAs="oneCell">
    <xdr:from>
      <xdr:col>11</xdr:col>
      <xdr:colOff>257175</xdr:colOff>
      <xdr:row>9</xdr:row>
      <xdr:rowOff>133350</xdr:rowOff>
    </xdr:from>
    <xdr:to>
      <xdr:col>12</xdr:col>
      <xdr:colOff>133350</xdr:colOff>
      <xdr:row>10</xdr:row>
      <xdr:rowOff>152400</xdr:rowOff>
    </xdr:to>
    <xdr:sp macro="" textlink="">
      <xdr:nvSpPr>
        <xdr:cNvPr id="46086" name="Text Box 6">
          <a:extLst>
            <a:ext uri="{FF2B5EF4-FFF2-40B4-BE49-F238E27FC236}">
              <a16:creationId xmlns:a16="http://schemas.microsoft.com/office/drawing/2014/main" id="{B9383E56-75BF-1FD2-11DD-76A387A8DADE}"/>
            </a:ext>
          </a:extLst>
        </xdr:cNvPr>
        <xdr:cNvSpPr txBox="1">
          <a:spLocks noChangeArrowheads="1"/>
        </xdr:cNvSpPr>
      </xdr:nvSpPr>
      <xdr:spPr bwMode="auto">
        <a:xfrm>
          <a:off x="6962775" y="1628775"/>
          <a:ext cx="4857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1" u="none" strike="noStrike" baseline="0">
              <a:solidFill>
                <a:srgbClr val="0000FF"/>
              </a:solidFill>
              <a:latin typeface="Arial"/>
              <a:cs typeface="Arial"/>
            </a:rPr>
            <a:t>L</a:t>
          </a:r>
          <a:r>
            <a:rPr lang="en-US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C</a:t>
          </a: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=90</a:t>
          </a:r>
        </a:p>
      </xdr:txBody>
    </xdr:sp>
    <xdr:clientData/>
  </xdr:twoCellAnchor>
  <xdr:twoCellAnchor>
    <xdr:from>
      <xdr:col>11</xdr:col>
      <xdr:colOff>47625</xdr:colOff>
      <xdr:row>10</xdr:row>
      <xdr:rowOff>104775</xdr:rowOff>
    </xdr:from>
    <xdr:to>
      <xdr:col>11</xdr:col>
      <xdr:colOff>238125</xdr:colOff>
      <xdr:row>11</xdr:row>
      <xdr:rowOff>133350</xdr:rowOff>
    </xdr:to>
    <xdr:sp macro="" textlink="">
      <xdr:nvSpPr>
        <xdr:cNvPr id="169700" name="Rectangle 7">
          <a:extLst>
            <a:ext uri="{FF2B5EF4-FFF2-40B4-BE49-F238E27FC236}">
              <a16:creationId xmlns:a16="http://schemas.microsoft.com/office/drawing/2014/main" id="{E1F69E74-4B04-E7FF-6207-D73BDE548BD2}"/>
            </a:ext>
          </a:extLst>
        </xdr:cNvPr>
        <xdr:cNvSpPr>
          <a:spLocks noChangeArrowheads="1"/>
        </xdr:cNvSpPr>
      </xdr:nvSpPr>
      <xdr:spPr bwMode="auto">
        <a:xfrm>
          <a:off x="6753225" y="1762125"/>
          <a:ext cx="190500" cy="190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38100</xdr:colOff>
      <xdr:row>9</xdr:row>
      <xdr:rowOff>85725</xdr:rowOff>
    </xdr:from>
    <xdr:to>
      <xdr:col>12</xdr:col>
      <xdr:colOff>171450</xdr:colOff>
      <xdr:row>10</xdr:row>
      <xdr:rowOff>104775</xdr:rowOff>
    </xdr:to>
    <xdr:sp macro="" textlink="">
      <xdr:nvSpPr>
        <xdr:cNvPr id="46088" name="Text Box 8">
          <a:extLst>
            <a:ext uri="{FF2B5EF4-FFF2-40B4-BE49-F238E27FC236}">
              <a16:creationId xmlns:a16="http://schemas.microsoft.com/office/drawing/2014/main" id="{565349D0-9A6E-A742-8FDE-63BCC86FD2B4}"/>
            </a:ext>
          </a:extLst>
        </xdr:cNvPr>
        <xdr:cNvSpPr txBox="1">
          <a:spLocks noChangeArrowheads="1"/>
        </xdr:cNvSpPr>
      </xdr:nvSpPr>
      <xdr:spPr bwMode="auto">
        <a:xfrm>
          <a:off x="7353300" y="1581150"/>
          <a:ext cx="1333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o</a:t>
          </a:r>
        </a:p>
      </xdr:txBody>
    </xdr:sp>
    <xdr:clientData/>
  </xdr:twoCellAnchor>
  <xdr:twoCellAnchor editAs="oneCell">
    <xdr:from>
      <xdr:col>10</xdr:col>
      <xdr:colOff>504825</xdr:colOff>
      <xdr:row>8</xdr:row>
      <xdr:rowOff>28575</xdr:rowOff>
    </xdr:from>
    <xdr:to>
      <xdr:col>11</xdr:col>
      <xdr:colOff>57150</xdr:colOff>
      <xdr:row>9</xdr:row>
      <xdr:rowOff>38100</xdr:rowOff>
    </xdr:to>
    <xdr:sp macro="" textlink="">
      <xdr:nvSpPr>
        <xdr:cNvPr id="46090" name="Text Box 10">
          <a:extLst>
            <a:ext uri="{FF2B5EF4-FFF2-40B4-BE49-F238E27FC236}">
              <a16:creationId xmlns:a16="http://schemas.microsoft.com/office/drawing/2014/main" id="{F0D41838-F97B-16C1-8667-7123EEA654CD}"/>
            </a:ext>
          </a:extLst>
        </xdr:cNvPr>
        <xdr:cNvSpPr txBox="1">
          <a:spLocks noChangeArrowheads="1"/>
        </xdr:cNvSpPr>
      </xdr:nvSpPr>
      <xdr:spPr bwMode="auto">
        <a:xfrm>
          <a:off x="6600825" y="1362075"/>
          <a:ext cx="1619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 editAs="oneCell">
    <xdr:from>
      <xdr:col>12</xdr:col>
      <xdr:colOff>495300</xdr:colOff>
      <xdr:row>7</xdr:row>
      <xdr:rowOff>19050</xdr:rowOff>
    </xdr:from>
    <xdr:to>
      <xdr:col>13</xdr:col>
      <xdr:colOff>47625</xdr:colOff>
      <xdr:row>8</xdr:row>
      <xdr:rowOff>28575</xdr:rowOff>
    </xdr:to>
    <xdr:sp macro="" textlink="">
      <xdr:nvSpPr>
        <xdr:cNvPr id="46091" name="Text Box 11">
          <a:extLst>
            <a:ext uri="{FF2B5EF4-FFF2-40B4-BE49-F238E27FC236}">
              <a16:creationId xmlns:a16="http://schemas.microsoft.com/office/drawing/2014/main" id="{E88B7C27-7C1D-6085-8616-60FEB94BFB71}"/>
            </a:ext>
          </a:extLst>
        </xdr:cNvPr>
        <xdr:cNvSpPr txBox="1">
          <a:spLocks noChangeArrowheads="1"/>
        </xdr:cNvSpPr>
      </xdr:nvSpPr>
      <xdr:spPr bwMode="auto">
        <a:xfrm>
          <a:off x="7810500" y="1190625"/>
          <a:ext cx="1619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 editAs="oneCell">
    <xdr:from>
      <xdr:col>12</xdr:col>
      <xdr:colOff>504825</xdr:colOff>
      <xdr:row>11</xdr:row>
      <xdr:rowOff>152400</xdr:rowOff>
    </xdr:from>
    <xdr:to>
      <xdr:col>13</xdr:col>
      <xdr:colOff>57150</xdr:colOff>
      <xdr:row>13</xdr:row>
      <xdr:rowOff>0</xdr:rowOff>
    </xdr:to>
    <xdr:sp macro="" textlink="">
      <xdr:nvSpPr>
        <xdr:cNvPr id="46092" name="Text Box 12">
          <a:extLst>
            <a:ext uri="{FF2B5EF4-FFF2-40B4-BE49-F238E27FC236}">
              <a16:creationId xmlns:a16="http://schemas.microsoft.com/office/drawing/2014/main" id="{97F583D3-ADC7-22D8-CB6C-CC47F5BEAE69}"/>
            </a:ext>
          </a:extLst>
        </xdr:cNvPr>
        <xdr:cNvSpPr txBox="1">
          <a:spLocks noChangeArrowheads="1"/>
        </xdr:cNvSpPr>
      </xdr:nvSpPr>
      <xdr:spPr bwMode="auto">
        <a:xfrm>
          <a:off x="7820025" y="1971675"/>
          <a:ext cx="1619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15</xdr:col>
      <xdr:colOff>0</xdr:colOff>
      <xdr:row>17</xdr:row>
      <xdr:rowOff>0</xdr:rowOff>
    </xdr:to>
    <xdr:sp macro="" textlink="">
      <xdr:nvSpPr>
        <xdr:cNvPr id="169705" name="Rectangle 13">
          <a:extLst>
            <a:ext uri="{FF2B5EF4-FFF2-40B4-BE49-F238E27FC236}">
              <a16:creationId xmlns:a16="http://schemas.microsoft.com/office/drawing/2014/main" id="{92912FAC-9908-FA40-A54C-278DA99C06CF}"/>
            </a:ext>
          </a:extLst>
        </xdr:cNvPr>
        <xdr:cNvSpPr>
          <a:spLocks noChangeArrowheads="1"/>
        </xdr:cNvSpPr>
      </xdr:nvSpPr>
      <xdr:spPr bwMode="auto">
        <a:xfrm>
          <a:off x="6705600" y="2466975"/>
          <a:ext cx="24384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5</xdr:row>
      <xdr:rowOff>47625</xdr:rowOff>
    </xdr:from>
    <xdr:to>
      <xdr:col>10</xdr:col>
      <xdr:colOff>419100</xdr:colOff>
      <xdr:row>6</xdr:row>
      <xdr:rowOff>114300</xdr:rowOff>
    </xdr:to>
    <xdr:sp macro="" textlink="">
      <xdr:nvSpPr>
        <xdr:cNvPr id="171572" name="Arc 1">
          <a:extLst>
            <a:ext uri="{FF2B5EF4-FFF2-40B4-BE49-F238E27FC236}">
              <a16:creationId xmlns:a16="http://schemas.microsoft.com/office/drawing/2014/main" id="{D78A0226-2DD8-E15B-C768-8E87657451F1}"/>
            </a:ext>
          </a:extLst>
        </xdr:cNvPr>
        <xdr:cNvSpPr>
          <a:spLocks/>
        </xdr:cNvSpPr>
      </xdr:nvSpPr>
      <xdr:spPr bwMode="auto">
        <a:xfrm rot="6023331">
          <a:off x="6353175" y="895350"/>
          <a:ext cx="228600" cy="22860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371475</xdr:colOff>
      <xdr:row>9</xdr:row>
      <xdr:rowOff>19050</xdr:rowOff>
    </xdr:from>
    <xdr:to>
      <xdr:col>12</xdr:col>
      <xdr:colOff>600075</xdr:colOff>
      <xdr:row>10</xdr:row>
      <xdr:rowOff>85725</xdr:rowOff>
    </xdr:to>
    <xdr:sp macro="" textlink="">
      <xdr:nvSpPr>
        <xdr:cNvPr id="171573" name="Arc 2">
          <a:extLst>
            <a:ext uri="{FF2B5EF4-FFF2-40B4-BE49-F238E27FC236}">
              <a16:creationId xmlns:a16="http://schemas.microsoft.com/office/drawing/2014/main" id="{8A8387F1-E1F8-0655-F275-A71F9DEBA397}"/>
            </a:ext>
          </a:extLst>
        </xdr:cNvPr>
        <xdr:cNvSpPr>
          <a:spLocks/>
        </xdr:cNvSpPr>
      </xdr:nvSpPr>
      <xdr:spPr bwMode="auto">
        <a:xfrm rot="-8100000">
          <a:off x="7753350" y="1514475"/>
          <a:ext cx="228600" cy="22860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161925</xdr:colOff>
      <xdr:row>9</xdr:row>
      <xdr:rowOff>19050</xdr:rowOff>
    </xdr:from>
    <xdr:to>
      <xdr:col>12</xdr:col>
      <xdr:colOff>419100</xdr:colOff>
      <xdr:row>10</xdr:row>
      <xdr:rowOff>19050</xdr:rowOff>
    </xdr:to>
    <xdr:sp macro="" textlink="">
      <xdr:nvSpPr>
        <xdr:cNvPr id="47107" name="Text Box 3">
          <a:extLst>
            <a:ext uri="{FF2B5EF4-FFF2-40B4-BE49-F238E27FC236}">
              <a16:creationId xmlns:a16="http://schemas.microsoft.com/office/drawing/2014/main" id="{A505C0B4-15DF-D1E7-7F32-DD163426F9B8}"/>
            </a:ext>
          </a:extLst>
        </xdr:cNvPr>
        <xdr:cNvSpPr txBox="1">
          <a:spLocks noChangeArrowheads="1"/>
        </xdr:cNvSpPr>
      </xdr:nvSpPr>
      <xdr:spPr bwMode="auto">
        <a:xfrm>
          <a:off x="7543800" y="1514475"/>
          <a:ext cx="2571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1" u="none" strike="noStrike" baseline="0">
              <a:solidFill>
                <a:srgbClr val="0000FF"/>
              </a:solidFill>
              <a:latin typeface="Arial"/>
              <a:cs typeface="Arial"/>
            </a:rPr>
            <a:t>L</a:t>
          </a:r>
          <a:r>
            <a:rPr lang="en-US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 editAs="oneCell">
    <xdr:from>
      <xdr:col>10</xdr:col>
      <xdr:colOff>304800</xdr:colOff>
      <xdr:row>6</xdr:row>
      <xdr:rowOff>66675</xdr:rowOff>
    </xdr:from>
    <xdr:to>
      <xdr:col>10</xdr:col>
      <xdr:colOff>590550</xdr:colOff>
      <xdr:row>7</xdr:row>
      <xdr:rowOff>57150</xdr:rowOff>
    </xdr:to>
    <xdr:sp macro="" textlink="">
      <xdr:nvSpPr>
        <xdr:cNvPr id="47108" name="Text Box 4">
          <a:extLst>
            <a:ext uri="{FF2B5EF4-FFF2-40B4-BE49-F238E27FC236}">
              <a16:creationId xmlns:a16="http://schemas.microsoft.com/office/drawing/2014/main" id="{1540AD95-001D-3F72-DC6E-ED324DD6E5FF}"/>
            </a:ext>
          </a:extLst>
        </xdr:cNvPr>
        <xdr:cNvSpPr txBox="1">
          <a:spLocks noChangeArrowheads="1"/>
        </xdr:cNvSpPr>
      </xdr:nvSpPr>
      <xdr:spPr bwMode="auto">
        <a:xfrm>
          <a:off x="6467475" y="1076325"/>
          <a:ext cx="28575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1" u="none" strike="noStrike" baseline="0">
              <a:solidFill>
                <a:srgbClr val="0000FF"/>
              </a:solidFill>
              <a:latin typeface="Arial"/>
              <a:cs typeface="Arial"/>
            </a:rPr>
            <a:t>L</a:t>
          </a:r>
          <a:r>
            <a:rPr lang="en-US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 editAs="oneCell">
    <xdr:from>
      <xdr:col>10</xdr:col>
      <xdr:colOff>238125</xdr:colOff>
      <xdr:row>8</xdr:row>
      <xdr:rowOff>133350</xdr:rowOff>
    </xdr:from>
    <xdr:to>
      <xdr:col>10</xdr:col>
      <xdr:colOff>504825</xdr:colOff>
      <xdr:row>9</xdr:row>
      <xdr:rowOff>114300</xdr:rowOff>
    </xdr:to>
    <xdr:sp macro="" textlink="">
      <xdr:nvSpPr>
        <xdr:cNvPr id="47109" name="Text Box 5">
          <a:extLst>
            <a:ext uri="{FF2B5EF4-FFF2-40B4-BE49-F238E27FC236}">
              <a16:creationId xmlns:a16="http://schemas.microsoft.com/office/drawing/2014/main" id="{68D1EA8C-6094-D6E7-5A09-0346C81EDB39}"/>
            </a:ext>
          </a:extLst>
        </xdr:cNvPr>
        <xdr:cNvSpPr txBox="1">
          <a:spLocks noChangeArrowheads="1"/>
        </xdr:cNvSpPr>
      </xdr:nvSpPr>
      <xdr:spPr bwMode="auto">
        <a:xfrm>
          <a:off x="6400800" y="1466850"/>
          <a:ext cx="266700" cy="142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1" u="none" strike="noStrike" baseline="0">
              <a:solidFill>
                <a:srgbClr val="0000FF"/>
              </a:solidFill>
              <a:latin typeface="Arial"/>
              <a:cs typeface="Arial"/>
            </a:rPr>
            <a:t>L</a:t>
          </a:r>
          <a:r>
            <a:rPr lang="en-US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10</xdr:col>
      <xdr:colOff>47625</xdr:colOff>
      <xdr:row>4</xdr:row>
      <xdr:rowOff>133350</xdr:rowOff>
    </xdr:from>
    <xdr:to>
      <xdr:col>10</xdr:col>
      <xdr:colOff>228600</xdr:colOff>
      <xdr:row>10</xdr:row>
      <xdr:rowOff>152400</xdr:rowOff>
    </xdr:to>
    <xdr:sp macro="" textlink="">
      <xdr:nvSpPr>
        <xdr:cNvPr id="171577" name="Line 7">
          <a:extLst>
            <a:ext uri="{FF2B5EF4-FFF2-40B4-BE49-F238E27FC236}">
              <a16:creationId xmlns:a16="http://schemas.microsoft.com/office/drawing/2014/main" id="{3B606ADA-412B-45B0-6B64-FFC0FE531239}"/>
            </a:ext>
          </a:extLst>
        </xdr:cNvPr>
        <xdr:cNvSpPr>
          <a:spLocks noChangeShapeType="1"/>
        </xdr:cNvSpPr>
      </xdr:nvSpPr>
      <xdr:spPr bwMode="auto">
        <a:xfrm flipV="1">
          <a:off x="6210300" y="819150"/>
          <a:ext cx="180975" cy="99060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47625</xdr:colOff>
      <xdr:row>10</xdr:row>
      <xdr:rowOff>142875</xdr:rowOff>
    </xdr:from>
    <xdr:to>
      <xdr:col>14</xdr:col>
      <xdr:colOff>28575</xdr:colOff>
      <xdr:row>10</xdr:row>
      <xdr:rowOff>142875</xdr:rowOff>
    </xdr:to>
    <xdr:sp macro="" textlink="">
      <xdr:nvSpPr>
        <xdr:cNvPr id="171578" name="Line 8">
          <a:extLst>
            <a:ext uri="{FF2B5EF4-FFF2-40B4-BE49-F238E27FC236}">
              <a16:creationId xmlns:a16="http://schemas.microsoft.com/office/drawing/2014/main" id="{AC81BEB4-A3FE-C48D-1297-B114BD5ED1C6}"/>
            </a:ext>
          </a:extLst>
        </xdr:cNvPr>
        <xdr:cNvSpPr>
          <a:spLocks noChangeShapeType="1"/>
        </xdr:cNvSpPr>
      </xdr:nvSpPr>
      <xdr:spPr bwMode="auto">
        <a:xfrm>
          <a:off x="6210300" y="1800225"/>
          <a:ext cx="2419350" cy="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219075</xdr:colOff>
      <xdr:row>4</xdr:row>
      <xdr:rowOff>133350</xdr:rowOff>
    </xdr:from>
    <xdr:to>
      <xdr:col>14</xdr:col>
      <xdr:colOff>47625</xdr:colOff>
      <xdr:row>10</xdr:row>
      <xdr:rowOff>142875</xdr:rowOff>
    </xdr:to>
    <xdr:sp macro="" textlink="">
      <xdr:nvSpPr>
        <xdr:cNvPr id="171579" name="Line 9">
          <a:extLst>
            <a:ext uri="{FF2B5EF4-FFF2-40B4-BE49-F238E27FC236}">
              <a16:creationId xmlns:a16="http://schemas.microsoft.com/office/drawing/2014/main" id="{EC651F16-5288-F679-B249-D02A156634AA}"/>
            </a:ext>
          </a:extLst>
        </xdr:cNvPr>
        <xdr:cNvSpPr>
          <a:spLocks noChangeShapeType="1"/>
        </xdr:cNvSpPr>
      </xdr:nvSpPr>
      <xdr:spPr bwMode="auto">
        <a:xfrm>
          <a:off x="6381750" y="819150"/>
          <a:ext cx="2266950" cy="98107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85725</xdr:colOff>
      <xdr:row>9</xdr:row>
      <xdr:rowOff>66675</xdr:rowOff>
    </xdr:from>
    <xdr:to>
      <xdr:col>10</xdr:col>
      <xdr:colOff>314325</xdr:colOff>
      <xdr:row>10</xdr:row>
      <xdr:rowOff>133350</xdr:rowOff>
    </xdr:to>
    <xdr:sp macro="" textlink="">
      <xdr:nvSpPr>
        <xdr:cNvPr id="171580" name="Arc 10">
          <a:extLst>
            <a:ext uri="{FF2B5EF4-FFF2-40B4-BE49-F238E27FC236}">
              <a16:creationId xmlns:a16="http://schemas.microsoft.com/office/drawing/2014/main" id="{C78A34FA-8810-0946-A291-23F048C5408E}"/>
            </a:ext>
          </a:extLst>
        </xdr:cNvPr>
        <xdr:cNvSpPr>
          <a:spLocks/>
        </xdr:cNvSpPr>
      </xdr:nvSpPr>
      <xdr:spPr bwMode="auto">
        <a:xfrm>
          <a:off x="6248400" y="1562100"/>
          <a:ext cx="228600" cy="22860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16</xdr:row>
      <xdr:rowOff>114300</xdr:rowOff>
    </xdr:from>
    <xdr:to>
      <xdr:col>10</xdr:col>
      <xdr:colOff>200025</xdr:colOff>
      <xdr:row>18</xdr:row>
      <xdr:rowOff>19050</xdr:rowOff>
    </xdr:to>
    <xdr:sp macro="" textlink="">
      <xdr:nvSpPr>
        <xdr:cNvPr id="171581" name="Arc 11">
          <a:extLst>
            <a:ext uri="{FF2B5EF4-FFF2-40B4-BE49-F238E27FC236}">
              <a16:creationId xmlns:a16="http://schemas.microsoft.com/office/drawing/2014/main" id="{FE44E293-762C-BE51-B81F-F9CD3FDC5196}"/>
            </a:ext>
          </a:extLst>
        </xdr:cNvPr>
        <xdr:cNvSpPr>
          <a:spLocks/>
        </xdr:cNvSpPr>
      </xdr:nvSpPr>
      <xdr:spPr bwMode="auto">
        <a:xfrm rot="6023331">
          <a:off x="6134100" y="2743200"/>
          <a:ext cx="228600" cy="22860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371475</xdr:colOff>
      <xdr:row>21</xdr:row>
      <xdr:rowOff>19050</xdr:rowOff>
    </xdr:from>
    <xdr:to>
      <xdr:col>12</xdr:col>
      <xdr:colOff>600075</xdr:colOff>
      <xdr:row>22</xdr:row>
      <xdr:rowOff>85725</xdr:rowOff>
    </xdr:to>
    <xdr:sp macro="" textlink="">
      <xdr:nvSpPr>
        <xdr:cNvPr id="171582" name="Arc 12">
          <a:extLst>
            <a:ext uri="{FF2B5EF4-FFF2-40B4-BE49-F238E27FC236}">
              <a16:creationId xmlns:a16="http://schemas.microsoft.com/office/drawing/2014/main" id="{07DA8668-59DE-6D6A-2DEC-C309E1079ECB}"/>
            </a:ext>
          </a:extLst>
        </xdr:cNvPr>
        <xdr:cNvSpPr>
          <a:spLocks/>
        </xdr:cNvSpPr>
      </xdr:nvSpPr>
      <xdr:spPr bwMode="auto">
        <a:xfrm rot="-8100000">
          <a:off x="7753350" y="3457575"/>
          <a:ext cx="228600" cy="22860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161925</xdr:colOff>
      <xdr:row>21</xdr:row>
      <xdr:rowOff>19050</xdr:rowOff>
    </xdr:from>
    <xdr:to>
      <xdr:col>12</xdr:col>
      <xdr:colOff>419100</xdr:colOff>
      <xdr:row>22</xdr:row>
      <xdr:rowOff>38100</xdr:rowOff>
    </xdr:to>
    <xdr:sp macro="" textlink="">
      <xdr:nvSpPr>
        <xdr:cNvPr id="47117" name="Text Box 13">
          <a:extLst>
            <a:ext uri="{FF2B5EF4-FFF2-40B4-BE49-F238E27FC236}">
              <a16:creationId xmlns:a16="http://schemas.microsoft.com/office/drawing/2014/main" id="{67711F79-1CD4-35A3-5B8A-D4C599A8D0CA}"/>
            </a:ext>
          </a:extLst>
        </xdr:cNvPr>
        <xdr:cNvSpPr txBox="1">
          <a:spLocks noChangeArrowheads="1"/>
        </xdr:cNvSpPr>
      </xdr:nvSpPr>
      <xdr:spPr bwMode="auto">
        <a:xfrm>
          <a:off x="7543800" y="3457575"/>
          <a:ext cx="2571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1" u="none" strike="noStrike" baseline="0">
              <a:solidFill>
                <a:srgbClr val="0000FF"/>
              </a:solidFill>
              <a:latin typeface="Arial"/>
              <a:cs typeface="Arial"/>
            </a:rPr>
            <a:t>L</a:t>
          </a:r>
          <a:r>
            <a:rPr lang="en-US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 editAs="oneCell">
    <xdr:from>
      <xdr:col>10</xdr:col>
      <xdr:colOff>123825</xdr:colOff>
      <xdr:row>17</xdr:row>
      <xdr:rowOff>104775</xdr:rowOff>
    </xdr:from>
    <xdr:to>
      <xdr:col>10</xdr:col>
      <xdr:colOff>409575</xdr:colOff>
      <xdr:row>18</xdr:row>
      <xdr:rowOff>114300</xdr:rowOff>
    </xdr:to>
    <xdr:sp macro="" textlink="">
      <xdr:nvSpPr>
        <xdr:cNvPr id="47118" name="Text Box 14">
          <a:extLst>
            <a:ext uri="{FF2B5EF4-FFF2-40B4-BE49-F238E27FC236}">
              <a16:creationId xmlns:a16="http://schemas.microsoft.com/office/drawing/2014/main" id="{7C5C894E-559D-904A-CF68-6985A03C0585}"/>
            </a:ext>
          </a:extLst>
        </xdr:cNvPr>
        <xdr:cNvSpPr txBox="1">
          <a:spLocks noChangeArrowheads="1"/>
        </xdr:cNvSpPr>
      </xdr:nvSpPr>
      <xdr:spPr bwMode="auto">
        <a:xfrm>
          <a:off x="6286500" y="2895600"/>
          <a:ext cx="2857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1" u="none" strike="noStrike" baseline="0">
              <a:solidFill>
                <a:srgbClr val="0000FF"/>
              </a:solidFill>
              <a:latin typeface="Arial"/>
              <a:cs typeface="Arial"/>
            </a:rPr>
            <a:t>L</a:t>
          </a:r>
          <a:r>
            <a:rPr lang="en-US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 editAs="oneCell">
    <xdr:from>
      <xdr:col>10</xdr:col>
      <xdr:colOff>200025</xdr:colOff>
      <xdr:row>20</xdr:row>
      <xdr:rowOff>152400</xdr:rowOff>
    </xdr:from>
    <xdr:to>
      <xdr:col>10</xdr:col>
      <xdr:colOff>457200</xdr:colOff>
      <xdr:row>21</xdr:row>
      <xdr:rowOff>142875</xdr:rowOff>
    </xdr:to>
    <xdr:sp macro="" textlink="">
      <xdr:nvSpPr>
        <xdr:cNvPr id="47119" name="Text Box 15">
          <a:extLst>
            <a:ext uri="{FF2B5EF4-FFF2-40B4-BE49-F238E27FC236}">
              <a16:creationId xmlns:a16="http://schemas.microsoft.com/office/drawing/2014/main" id="{D4A0534E-27B1-61E8-9790-0EE720904979}"/>
            </a:ext>
          </a:extLst>
        </xdr:cNvPr>
        <xdr:cNvSpPr txBox="1">
          <a:spLocks noChangeArrowheads="1"/>
        </xdr:cNvSpPr>
      </xdr:nvSpPr>
      <xdr:spPr bwMode="auto">
        <a:xfrm>
          <a:off x="6362700" y="3429000"/>
          <a:ext cx="25717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1" u="none" strike="noStrike" baseline="0">
              <a:solidFill>
                <a:srgbClr val="0000FF"/>
              </a:solidFill>
              <a:latin typeface="Arial"/>
              <a:cs typeface="Arial"/>
            </a:rPr>
            <a:t>L</a:t>
          </a:r>
          <a:r>
            <a:rPr lang="en-US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9</xdr:col>
      <xdr:colOff>514350</xdr:colOff>
      <xdr:row>16</xdr:row>
      <xdr:rowOff>0</xdr:rowOff>
    </xdr:from>
    <xdr:to>
      <xdr:col>10</xdr:col>
      <xdr:colOff>47625</xdr:colOff>
      <xdr:row>22</xdr:row>
      <xdr:rowOff>152400</xdr:rowOff>
    </xdr:to>
    <xdr:sp macro="" textlink="">
      <xdr:nvSpPr>
        <xdr:cNvPr id="171586" name="Line 16">
          <a:extLst>
            <a:ext uri="{FF2B5EF4-FFF2-40B4-BE49-F238E27FC236}">
              <a16:creationId xmlns:a16="http://schemas.microsoft.com/office/drawing/2014/main" id="{64708ED7-2E0B-79FC-9C01-FCBED22FE3B5}"/>
            </a:ext>
          </a:extLst>
        </xdr:cNvPr>
        <xdr:cNvSpPr>
          <a:spLocks noChangeShapeType="1"/>
        </xdr:cNvSpPr>
      </xdr:nvSpPr>
      <xdr:spPr bwMode="auto">
        <a:xfrm flipH="1" flipV="1">
          <a:off x="6067425" y="2628900"/>
          <a:ext cx="142875" cy="112395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47625</xdr:colOff>
      <xdr:row>22</xdr:row>
      <xdr:rowOff>142875</xdr:rowOff>
    </xdr:from>
    <xdr:to>
      <xdr:col>14</xdr:col>
      <xdr:colOff>28575</xdr:colOff>
      <xdr:row>22</xdr:row>
      <xdr:rowOff>142875</xdr:rowOff>
    </xdr:to>
    <xdr:sp macro="" textlink="">
      <xdr:nvSpPr>
        <xdr:cNvPr id="171587" name="Line 17">
          <a:extLst>
            <a:ext uri="{FF2B5EF4-FFF2-40B4-BE49-F238E27FC236}">
              <a16:creationId xmlns:a16="http://schemas.microsoft.com/office/drawing/2014/main" id="{7A455064-5C8F-4288-0EC5-46A3D2748493}"/>
            </a:ext>
          </a:extLst>
        </xdr:cNvPr>
        <xdr:cNvSpPr>
          <a:spLocks noChangeShapeType="1"/>
        </xdr:cNvSpPr>
      </xdr:nvSpPr>
      <xdr:spPr bwMode="auto">
        <a:xfrm>
          <a:off x="6210300" y="3743325"/>
          <a:ext cx="2419350" cy="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514350</xdr:colOff>
      <xdr:row>16</xdr:row>
      <xdr:rowOff>0</xdr:rowOff>
    </xdr:from>
    <xdr:to>
      <xdr:col>14</xdr:col>
      <xdr:colOff>47625</xdr:colOff>
      <xdr:row>22</xdr:row>
      <xdr:rowOff>142875</xdr:rowOff>
    </xdr:to>
    <xdr:sp macro="" textlink="">
      <xdr:nvSpPr>
        <xdr:cNvPr id="171588" name="Line 18">
          <a:extLst>
            <a:ext uri="{FF2B5EF4-FFF2-40B4-BE49-F238E27FC236}">
              <a16:creationId xmlns:a16="http://schemas.microsoft.com/office/drawing/2014/main" id="{5ACB039A-2EEA-FFDD-5ABC-CC25E4AEC40A}"/>
            </a:ext>
          </a:extLst>
        </xdr:cNvPr>
        <xdr:cNvSpPr>
          <a:spLocks noChangeShapeType="1"/>
        </xdr:cNvSpPr>
      </xdr:nvSpPr>
      <xdr:spPr bwMode="auto">
        <a:xfrm>
          <a:off x="6067425" y="2628900"/>
          <a:ext cx="2581275" cy="111442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28575</xdr:colOff>
      <xdr:row>21</xdr:row>
      <xdr:rowOff>66675</xdr:rowOff>
    </xdr:from>
    <xdr:to>
      <xdr:col>10</xdr:col>
      <xdr:colOff>257175</xdr:colOff>
      <xdr:row>22</xdr:row>
      <xdr:rowOff>133350</xdr:rowOff>
    </xdr:to>
    <xdr:sp macro="" textlink="">
      <xdr:nvSpPr>
        <xdr:cNvPr id="171589" name="Arc 19">
          <a:extLst>
            <a:ext uri="{FF2B5EF4-FFF2-40B4-BE49-F238E27FC236}">
              <a16:creationId xmlns:a16="http://schemas.microsoft.com/office/drawing/2014/main" id="{52AE05DB-AA76-0E53-8207-56B2F01652C3}"/>
            </a:ext>
          </a:extLst>
        </xdr:cNvPr>
        <xdr:cNvSpPr>
          <a:spLocks/>
        </xdr:cNvSpPr>
      </xdr:nvSpPr>
      <xdr:spPr bwMode="auto">
        <a:xfrm>
          <a:off x="6191250" y="3505200"/>
          <a:ext cx="228600" cy="22860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600075</xdr:colOff>
      <xdr:row>7</xdr:row>
      <xdr:rowOff>19050</xdr:rowOff>
    </xdr:from>
    <xdr:to>
      <xdr:col>10</xdr:col>
      <xdr:colOff>152400</xdr:colOff>
      <xdr:row>8</xdr:row>
      <xdr:rowOff>28575</xdr:rowOff>
    </xdr:to>
    <xdr:sp macro="" textlink="">
      <xdr:nvSpPr>
        <xdr:cNvPr id="47124" name="Text Box 20">
          <a:extLst>
            <a:ext uri="{FF2B5EF4-FFF2-40B4-BE49-F238E27FC236}">
              <a16:creationId xmlns:a16="http://schemas.microsoft.com/office/drawing/2014/main" id="{B5ECE89A-472C-8580-0044-8B51B8F52FAE}"/>
            </a:ext>
          </a:extLst>
        </xdr:cNvPr>
        <xdr:cNvSpPr txBox="1">
          <a:spLocks noChangeArrowheads="1"/>
        </xdr:cNvSpPr>
      </xdr:nvSpPr>
      <xdr:spPr bwMode="auto">
        <a:xfrm>
          <a:off x="6153150" y="1190625"/>
          <a:ext cx="1619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 editAs="oneCell">
    <xdr:from>
      <xdr:col>9</xdr:col>
      <xdr:colOff>438150</xdr:colOff>
      <xdr:row>19</xdr:row>
      <xdr:rowOff>28575</xdr:rowOff>
    </xdr:from>
    <xdr:to>
      <xdr:col>9</xdr:col>
      <xdr:colOff>600075</xdr:colOff>
      <xdr:row>20</xdr:row>
      <xdr:rowOff>38100</xdr:rowOff>
    </xdr:to>
    <xdr:sp macro="" textlink="">
      <xdr:nvSpPr>
        <xdr:cNvPr id="47125" name="Text Box 21">
          <a:extLst>
            <a:ext uri="{FF2B5EF4-FFF2-40B4-BE49-F238E27FC236}">
              <a16:creationId xmlns:a16="http://schemas.microsoft.com/office/drawing/2014/main" id="{DF237345-4837-9B14-5966-053F56084D2D}"/>
            </a:ext>
          </a:extLst>
        </xdr:cNvPr>
        <xdr:cNvSpPr txBox="1">
          <a:spLocks noChangeArrowheads="1"/>
        </xdr:cNvSpPr>
      </xdr:nvSpPr>
      <xdr:spPr bwMode="auto">
        <a:xfrm>
          <a:off x="5991225" y="3143250"/>
          <a:ext cx="1619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 editAs="oneCell">
    <xdr:from>
      <xdr:col>12</xdr:col>
      <xdr:colOff>0</xdr:colOff>
      <xdr:row>6</xdr:row>
      <xdr:rowOff>76200</xdr:rowOff>
    </xdr:from>
    <xdr:to>
      <xdr:col>12</xdr:col>
      <xdr:colOff>161925</xdr:colOff>
      <xdr:row>7</xdr:row>
      <xdr:rowOff>85725</xdr:rowOff>
    </xdr:to>
    <xdr:sp macro="" textlink="">
      <xdr:nvSpPr>
        <xdr:cNvPr id="47126" name="Text Box 22">
          <a:extLst>
            <a:ext uri="{FF2B5EF4-FFF2-40B4-BE49-F238E27FC236}">
              <a16:creationId xmlns:a16="http://schemas.microsoft.com/office/drawing/2014/main" id="{4F62E979-47CB-BD28-B47F-D3F31D82D965}"/>
            </a:ext>
          </a:extLst>
        </xdr:cNvPr>
        <xdr:cNvSpPr txBox="1">
          <a:spLocks noChangeArrowheads="1"/>
        </xdr:cNvSpPr>
      </xdr:nvSpPr>
      <xdr:spPr bwMode="auto">
        <a:xfrm>
          <a:off x="7381875" y="1085850"/>
          <a:ext cx="1619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 editAs="oneCell">
    <xdr:from>
      <xdr:col>11</xdr:col>
      <xdr:colOff>457200</xdr:colOff>
      <xdr:row>18</xdr:row>
      <xdr:rowOff>9525</xdr:rowOff>
    </xdr:from>
    <xdr:to>
      <xdr:col>12</xdr:col>
      <xdr:colOff>9525</xdr:colOff>
      <xdr:row>19</xdr:row>
      <xdr:rowOff>19050</xdr:rowOff>
    </xdr:to>
    <xdr:sp macro="" textlink="">
      <xdr:nvSpPr>
        <xdr:cNvPr id="47127" name="Text Box 23">
          <a:extLst>
            <a:ext uri="{FF2B5EF4-FFF2-40B4-BE49-F238E27FC236}">
              <a16:creationId xmlns:a16="http://schemas.microsoft.com/office/drawing/2014/main" id="{7B0209F6-C113-0725-1455-38EAF2734622}"/>
            </a:ext>
          </a:extLst>
        </xdr:cNvPr>
        <xdr:cNvSpPr txBox="1">
          <a:spLocks noChangeArrowheads="1"/>
        </xdr:cNvSpPr>
      </xdr:nvSpPr>
      <xdr:spPr bwMode="auto">
        <a:xfrm>
          <a:off x="7229475" y="2962275"/>
          <a:ext cx="1619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 editAs="oneCell">
    <xdr:from>
      <xdr:col>11</xdr:col>
      <xdr:colOff>495300</xdr:colOff>
      <xdr:row>22</xdr:row>
      <xdr:rowOff>152400</xdr:rowOff>
    </xdr:from>
    <xdr:to>
      <xdr:col>12</xdr:col>
      <xdr:colOff>47625</xdr:colOff>
      <xdr:row>24</xdr:row>
      <xdr:rowOff>0</xdr:rowOff>
    </xdr:to>
    <xdr:sp macro="" textlink="">
      <xdr:nvSpPr>
        <xdr:cNvPr id="47128" name="Text Box 24">
          <a:extLst>
            <a:ext uri="{FF2B5EF4-FFF2-40B4-BE49-F238E27FC236}">
              <a16:creationId xmlns:a16="http://schemas.microsoft.com/office/drawing/2014/main" id="{7F5C9BE6-52A4-CB22-35AE-320693A67809}"/>
            </a:ext>
          </a:extLst>
        </xdr:cNvPr>
        <xdr:cNvSpPr txBox="1">
          <a:spLocks noChangeArrowheads="1"/>
        </xdr:cNvSpPr>
      </xdr:nvSpPr>
      <xdr:spPr bwMode="auto">
        <a:xfrm>
          <a:off x="7267575" y="3752850"/>
          <a:ext cx="1619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 editAs="oneCell">
    <xdr:from>
      <xdr:col>11</xdr:col>
      <xdr:colOff>504825</xdr:colOff>
      <xdr:row>10</xdr:row>
      <xdr:rowOff>152400</xdr:rowOff>
    </xdr:from>
    <xdr:to>
      <xdr:col>12</xdr:col>
      <xdr:colOff>57150</xdr:colOff>
      <xdr:row>12</xdr:row>
      <xdr:rowOff>0</xdr:rowOff>
    </xdr:to>
    <xdr:sp macro="" textlink="">
      <xdr:nvSpPr>
        <xdr:cNvPr id="47129" name="Text Box 25">
          <a:extLst>
            <a:ext uri="{FF2B5EF4-FFF2-40B4-BE49-F238E27FC236}">
              <a16:creationId xmlns:a16="http://schemas.microsoft.com/office/drawing/2014/main" id="{3C992CB1-498D-8EFE-3B38-78AF9E69483B}"/>
            </a:ext>
          </a:extLst>
        </xdr:cNvPr>
        <xdr:cNvSpPr txBox="1">
          <a:spLocks noChangeArrowheads="1"/>
        </xdr:cNvSpPr>
      </xdr:nvSpPr>
      <xdr:spPr bwMode="auto">
        <a:xfrm>
          <a:off x="7277100" y="1809750"/>
          <a:ext cx="1619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2</xdr:col>
      <xdr:colOff>0</xdr:colOff>
      <xdr:row>27</xdr:row>
      <xdr:rowOff>0</xdr:rowOff>
    </xdr:from>
    <xdr:to>
      <xdr:col>8</xdr:col>
      <xdr:colOff>0</xdr:colOff>
      <xdr:row>29</xdr:row>
      <xdr:rowOff>0</xdr:rowOff>
    </xdr:to>
    <xdr:sp macro="" textlink="">
      <xdr:nvSpPr>
        <xdr:cNvPr id="171596" name="Rectangle 26">
          <a:extLst>
            <a:ext uri="{FF2B5EF4-FFF2-40B4-BE49-F238E27FC236}">
              <a16:creationId xmlns:a16="http://schemas.microsoft.com/office/drawing/2014/main" id="{8A9D3CCA-49B9-9E99-0AA4-3355536331E0}"/>
            </a:ext>
          </a:extLst>
        </xdr:cNvPr>
        <xdr:cNvSpPr>
          <a:spLocks noChangeArrowheads="1"/>
        </xdr:cNvSpPr>
      </xdr:nvSpPr>
      <xdr:spPr bwMode="auto">
        <a:xfrm>
          <a:off x="1228725" y="4410075"/>
          <a:ext cx="370522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27</xdr:row>
      <xdr:rowOff>0</xdr:rowOff>
    </xdr:from>
    <xdr:to>
      <xdr:col>14</xdr:col>
      <xdr:colOff>0</xdr:colOff>
      <xdr:row>29</xdr:row>
      <xdr:rowOff>0</xdr:rowOff>
    </xdr:to>
    <xdr:sp macro="" textlink="">
      <xdr:nvSpPr>
        <xdr:cNvPr id="171597" name="Rectangle 27">
          <a:extLst>
            <a:ext uri="{FF2B5EF4-FFF2-40B4-BE49-F238E27FC236}">
              <a16:creationId xmlns:a16="http://schemas.microsoft.com/office/drawing/2014/main" id="{6AB9BCF1-DEEA-6352-C1FA-F410C5E9EC86}"/>
            </a:ext>
          </a:extLst>
        </xdr:cNvPr>
        <xdr:cNvSpPr>
          <a:spLocks noChangeArrowheads="1"/>
        </xdr:cNvSpPr>
      </xdr:nvSpPr>
      <xdr:spPr bwMode="auto">
        <a:xfrm>
          <a:off x="6162675" y="4410075"/>
          <a:ext cx="24384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26BC7-02F3-474F-A9F6-0F189E44D581}">
  <dimension ref="A1:P252"/>
  <sheetViews>
    <sheetView tabSelected="1" zoomScaleNormal="100" workbookViewId="0">
      <selection activeCell="D12" sqref="D12"/>
    </sheetView>
  </sheetViews>
  <sheetFormatPr defaultRowHeight="12.75" x14ac:dyDescent="0.2"/>
  <cols>
    <col min="1" max="1" width="30.7109375" style="1" bestFit="1" customWidth="1"/>
    <col min="2" max="2" width="24.28515625" style="1" bestFit="1" customWidth="1"/>
    <col min="3" max="3" width="8.7109375" style="1" customWidth="1"/>
    <col min="4" max="4" width="19.140625" style="1" bestFit="1" customWidth="1"/>
    <col min="5" max="6" width="9.140625" style="1"/>
    <col min="7" max="7" width="8.28515625" style="1" customWidth="1"/>
    <col min="8" max="8" width="9" style="1" customWidth="1"/>
    <col min="9" max="9" width="9.140625" style="1"/>
    <col min="10" max="10" width="9.7109375" style="1" customWidth="1"/>
    <col min="11" max="12" width="9.140625" style="1"/>
    <col min="13" max="13" width="9.7109375" style="1" customWidth="1"/>
    <col min="14" max="16384" width="9.140625" style="1"/>
  </cols>
  <sheetData>
    <row r="1" spans="1:15" ht="27.75" x14ac:dyDescent="0.4">
      <c r="A1" s="72" t="s">
        <v>53</v>
      </c>
      <c r="B1" s="94">
        <v>6.25E-2</v>
      </c>
      <c r="D1" s="77" t="s">
        <v>52</v>
      </c>
    </row>
    <row r="2" spans="1:15" ht="27.75" x14ac:dyDescent="0.4">
      <c r="A2" s="72" t="s">
        <v>54</v>
      </c>
      <c r="B2" s="94">
        <v>79.5</v>
      </c>
      <c r="D2" s="95">
        <f>2*ACOS(SQRT((($B$1+$B$2+$M$247)/2)*((($B$1+$B$2+$M$247)/2)-$B$1)/($B$2*$M$247)))*180/PI()</f>
        <v>4.504384252961123E-2</v>
      </c>
    </row>
    <row r="3" spans="1:15" ht="27" x14ac:dyDescent="0.35">
      <c r="E3" s="93"/>
      <c r="F3" s="93"/>
    </row>
    <row r="4" spans="1:15" ht="27" x14ac:dyDescent="0.35">
      <c r="E4" s="93"/>
      <c r="F4" s="93"/>
    </row>
    <row r="6" spans="1:15" x14ac:dyDescent="0.2">
      <c r="O6" s="80"/>
    </row>
    <row r="9" spans="1:15" x14ac:dyDescent="0.2">
      <c r="O9" s="80"/>
    </row>
    <row r="10" spans="1:15" x14ac:dyDescent="0.2">
      <c r="E10"/>
    </row>
    <row r="11" spans="1:15" x14ac:dyDescent="0.2">
      <c r="O11" s="24"/>
    </row>
    <row r="12" spans="1:15" x14ac:dyDescent="0.2">
      <c r="O12" s="15"/>
    </row>
    <row r="14" spans="1:15" x14ac:dyDescent="0.2">
      <c r="O14" s="80"/>
    </row>
    <row r="20" spans="15:15" x14ac:dyDescent="0.2">
      <c r="O20" s="91"/>
    </row>
    <row r="21" spans="15:15" x14ac:dyDescent="0.2">
      <c r="O21" s="91"/>
    </row>
    <row r="22" spans="15:15" x14ac:dyDescent="0.2">
      <c r="O22" s="91"/>
    </row>
    <row r="244" spans="4:16" x14ac:dyDescent="0.2">
      <c r="O244" s="74"/>
    </row>
    <row r="245" spans="4:16" x14ac:dyDescent="0.2">
      <c r="D245" s="4"/>
      <c r="E245" s="73"/>
      <c r="F245" s="79"/>
      <c r="G245" s="79"/>
      <c r="I245" s="73"/>
      <c r="J245" s="74"/>
      <c r="K245" s="74"/>
      <c r="L245" s="74"/>
      <c r="M245" s="74"/>
      <c r="N245" s="74"/>
      <c r="O245" s="72" t="s">
        <v>14</v>
      </c>
      <c r="P245" s="78"/>
    </row>
    <row r="246" spans="4:16" x14ac:dyDescent="0.2">
      <c r="D246" s="4"/>
      <c r="E246" s="92" t="s">
        <v>51</v>
      </c>
      <c r="I246" s="72" t="s">
        <v>23</v>
      </c>
      <c r="K246" s="72" t="s">
        <v>21</v>
      </c>
      <c r="L246" s="77" t="s">
        <v>22</v>
      </c>
      <c r="M246" s="72" t="s">
        <v>4</v>
      </c>
      <c r="N246" s="77" t="s">
        <v>24</v>
      </c>
      <c r="O246" s="76">
        <f>$I$247*$M$247*SIN($L$247*PI()/180)/2</f>
        <v>2.484375</v>
      </c>
      <c r="P246" s="2"/>
    </row>
    <row r="247" spans="4:16" x14ac:dyDescent="0.2">
      <c r="D247" s="4"/>
      <c r="E247" s="42">
        <v>90</v>
      </c>
      <c r="I247" s="75">
        <f>$B$1</f>
        <v>6.25E-2</v>
      </c>
      <c r="K247" s="75">
        <f>$B$2</f>
        <v>79.5</v>
      </c>
      <c r="L247" s="75">
        <f>2*ACOS(SQRT((($B$1+$B$2+$M$247)/2)*((($B$1+$B$2+$M$247)/2)-$B$2)/($B$1*$M$247)))*180/PI()</f>
        <v>89.954956157467237</v>
      </c>
      <c r="M247" s="75">
        <f>SQRT($B$1^2+$B$2^2-2*$B$1*$B$2*COS($E$247*PI()/180))</f>
        <v>79.50002456760626</v>
      </c>
      <c r="N247" s="75">
        <f>$E$247</f>
        <v>90</v>
      </c>
      <c r="P247" s="2"/>
    </row>
    <row r="248" spans="4:16" x14ac:dyDescent="0.2">
      <c r="D248" s="4"/>
      <c r="O248" s="88"/>
      <c r="P248" s="2"/>
    </row>
    <row r="249" spans="4:16" x14ac:dyDescent="0.2">
      <c r="D249" s="4"/>
      <c r="E249" s="84"/>
      <c r="F249" s="84"/>
      <c r="G249" s="84"/>
      <c r="H249" s="85"/>
      <c r="I249" s="87"/>
      <c r="J249" s="87"/>
      <c r="K249" s="87"/>
      <c r="L249" s="87"/>
      <c r="M249" s="87"/>
      <c r="N249" s="87"/>
      <c r="O249" s="88"/>
      <c r="P249" s="78"/>
    </row>
    <row r="250" spans="4:16" x14ac:dyDescent="0.2">
      <c r="D250" s="4"/>
      <c r="E250" s="84"/>
      <c r="F250" s="84"/>
      <c r="G250" s="84"/>
      <c r="H250" s="85"/>
      <c r="I250" s="87"/>
      <c r="J250" s="87"/>
      <c r="K250" s="87"/>
      <c r="L250" s="87"/>
      <c r="M250" s="87"/>
      <c r="N250" s="87"/>
      <c r="O250" s="85"/>
      <c r="P250" s="78"/>
    </row>
    <row r="251" spans="4:16" x14ac:dyDescent="0.2">
      <c r="D251" s="4"/>
      <c r="E251" s="85"/>
      <c r="F251" s="85"/>
      <c r="G251" s="85"/>
      <c r="H251" s="85"/>
      <c r="I251" s="85"/>
      <c r="J251" s="85"/>
      <c r="K251" s="85"/>
      <c r="L251" s="85"/>
      <c r="M251" s="85"/>
      <c r="N251" s="89"/>
      <c r="O251" s="86"/>
      <c r="P251" s="78"/>
    </row>
    <row r="252" spans="4:16" x14ac:dyDescent="0.2">
      <c r="D252" s="5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P252" s="90"/>
    </row>
  </sheetData>
  <phoneticPr fontId="29" type="noConversion"/>
  <dataValidations count="1">
    <dataValidation type="decimal" operator="greaterThan" allowBlank="1" showInputMessage="1" showErrorMessage="1" sqref="E247 E249:G250 B1:B2 B1" xr:uid="{157BB972-FA1A-4936-9902-AE14361D8CDA}">
      <formula1>0</formula1>
    </dataValidation>
  </dataValidations>
  <pageMargins left="0.75" right="0.75" top="0.75" bottom="0.75" header="0.5" footer="0.5"/>
  <pageSetup scale="9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BAFE6-9110-4764-BD80-35FFE3C5BC91}">
  <dimension ref="A1:S44"/>
  <sheetViews>
    <sheetView showGridLines="0" zoomScale="90" zoomScaleNormal="100" workbookViewId="0">
      <selection activeCell="A3" sqref="A3"/>
    </sheetView>
  </sheetViews>
  <sheetFormatPr defaultColWidth="8.85546875" defaultRowHeight="12.75" x14ac:dyDescent="0.2"/>
  <cols>
    <col min="1" max="28" width="9.140625" style="15" customWidth="1"/>
    <col min="29" max="16384" width="8.85546875" style="15"/>
  </cols>
  <sheetData>
    <row r="1" spans="1:19" ht="15.75" x14ac:dyDescent="0.25">
      <c r="A1" s="16" t="s">
        <v>12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8"/>
      <c r="Q1" s="3" t="s">
        <v>5</v>
      </c>
    </row>
    <row r="2" spans="1:19" x14ac:dyDescent="0.2">
      <c r="A2" s="19"/>
      <c r="P2" s="20"/>
    </row>
    <row r="3" spans="1:19" x14ac:dyDescent="0.2">
      <c r="A3" s="21"/>
      <c r="P3" s="20"/>
      <c r="Q3" s="1"/>
      <c r="S3" s="8"/>
    </row>
    <row r="4" spans="1:19" x14ac:dyDescent="0.2">
      <c r="A4" s="22"/>
      <c r="P4" s="20"/>
      <c r="Q4" s="1"/>
      <c r="R4" s="80" t="s">
        <v>26</v>
      </c>
    </row>
    <row r="5" spans="1:19" x14ac:dyDescent="0.2">
      <c r="A5" s="21"/>
      <c r="B5" s="33" t="s">
        <v>0</v>
      </c>
      <c r="C5" s="32"/>
      <c r="E5" s="31" t="s">
        <v>1</v>
      </c>
      <c r="F5" s="31"/>
      <c r="G5" s="32"/>
      <c r="H5" s="32"/>
      <c r="I5" s="32"/>
      <c r="J5" s="32"/>
      <c r="P5" s="20"/>
      <c r="Q5" s="1"/>
      <c r="R5" s="1" t="s">
        <v>27</v>
      </c>
    </row>
    <row r="6" spans="1:19" x14ac:dyDescent="0.2">
      <c r="A6" s="21"/>
      <c r="B6" s="9" t="s">
        <v>2</v>
      </c>
      <c r="C6" s="12" t="s">
        <v>3</v>
      </c>
      <c r="D6" s="30"/>
      <c r="E6" s="9" t="s">
        <v>4</v>
      </c>
      <c r="F6" s="14" t="s">
        <v>7</v>
      </c>
      <c r="G6" s="14" t="s">
        <v>8</v>
      </c>
      <c r="H6" s="14" t="s">
        <v>9</v>
      </c>
      <c r="I6" s="69" t="s">
        <v>15</v>
      </c>
      <c r="J6" s="69" t="s">
        <v>14</v>
      </c>
      <c r="K6" s="1"/>
      <c r="L6" s="1"/>
      <c r="M6" s="1"/>
      <c r="N6" s="1"/>
      <c r="O6" s="1"/>
      <c r="P6" s="20"/>
      <c r="Q6" s="1"/>
      <c r="R6" s="1"/>
    </row>
    <row r="7" spans="1:19" x14ac:dyDescent="0.2">
      <c r="A7" s="21"/>
      <c r="B7" s="13">
        <v>3</v>
      </c>
      <c r="C7" s="13">
        <v>4</v>
      </c>
      <c r="D7" s="30"/>
      <c r="E7" s="10">
        <f>SQRT(SUMSQ($C$7)+SUMSQ($B$7))</f>
        <v>5</v>
      </c>
      <c r="F7" s="10">
        <f>ATAN($B$7/$C$7)*180/PI()</f>
        <v>36.86989764584402</v>
      </c>
      <c r="G7" s="10">
        <f>ATAN($C$7/$B$7)*180/PI()</f>
        <v>53.13010235415598</v>
      </c>
      <c r="H7" s="11">
        <f>90</f>
        <v>90</v>
      </c>
      <c r="I7" s="71">
        <f>$B$7/$C$7*100</f>
        <v>75</v>
      </c>
      <c r="J7" s="71">
        <f>$B$7*$E$7*SIN($G$7*PI()/180)/2</f>
        <v>6</v>
      </c>
      <c r="K7" s="1"/>
      <c r="L7" s="1"/>
      <c r="M7" s="1"/>
      <c r="N7" s="1"/>
      <c r="O7" s="1"/>
      <c r="P7" s="20"/>
      <c r="Q7" s="1"/>
      <c r="R7" s="80" t="s">
        <v>28</v>
      </c>
    </row>
    <row r="8" spans="1:19" x14ac:dyDescent="0.2">
      <c r="A8" s="21"/>
      <c r="D8" s="28"/>
      <c r="K8" s="1"/>
      <c r="L8" s="1"/>
      <c r="M8" s="6"/>
      <c r="N8" s="1"/>
      <c r="O8" s="1"/>
      <c r="P8" s="20"/>
      <c r="Q8" s="1"/>
      <c r="R8" s="1" t="s">
        <v>29</v>
      </c>
    </row>
    <row r="9" spans="1:19" x14ac:dyDescent="0.2">
      <c r="A9" s="21"/>
      <c r="B9" s="9" t="s">
        <v>2</v>
      </c>
      <c r="C9" s="9" t="s">
        <v>4</v>
      </c>
      <c r="D9" s="30"/>
      <c r="E9" s="9" t="s">
        <v>3</v>
      </c>
      <c r="F9" s="14" t="s">
        <v>7</v>
      </c>
      <c r="G9" s="14" t="s">
        <v>8</v>
      </c>
      <c r="H9" s="14" t="s">
        <v>9</v>
      </c>
      <c r="I9" s="69" t="s">
        <v>15</v>
      </c>
      <c r="J9" s="69" t="s">
        <v>14</v>
      </c>
      <c r="K9" s="6"/>
      <c r="L9" s="1"/>
      <c r="M9" s="1"/>
      <c r="N9" s="1"/>
      <c r="O9" s="1"/>
      <c r="P9" s="20"/>
      <c r="Q9" s="1"/>
      <c r="R9" s="15" t="s">
        <v>30</v>
      </c>
    </row>
    <row r="10" spans="1:19" x14ac:dyDescent="0.2">
      <c r="A10" s="21"/>
      <c r="B10" s="13">
        <v>3</v>
      </c>
      <c r="C10" s="13">
        <v>5</v>
      </c>
      <c r="D10" s="30"/>
      <c r="E10" s="10">
        <f>SQRT((SUMSQ($C$10)-SUMSQ($B$10)))</f>
        <v>4</v>
      </c>
      <c r="F10" s="10">
        <f>ASIN($B$10/$C$10)*180/PI()</f>
        <v>36.86989764584402</v>
      </c>
      <c r="G10" s="10">
        <f>ACOS($B$10/$C$10)*180/PI()</f>
        <v>53.13010235415598</v>
      </c>
      <c r="H10" s="11">
        <f>90</f>
        <v>90</v>
      </c>
      <c r="I10" s="71">
        <f>$B$10/$E$10*100</f>
        <v>75</v>
      </c>
      <c r="J10" s="71">
        <f>$B$10*$C$10*SIN($G$10*PI()/180)/2</f>
        <v>6</v>
      </c>
      <c r="K10" s="1"/>
      <c r="L10" s="1"/>
      <c r="M10" s="1"/>
      <c r="N10" s="1"/>
      <c r="O10" s="1"/>
      <c r="P10" s="20"/>
      <c r="Q10" s="1"/>
      <c r="R10" s="15" t="s">
        <v>31</v>
      </c>
    </row>
    <row r="11" spans="1:19" x14ac:dyDescent="0.2">
      <c r="A11" s="21"/>
      <c r="D11" s="30"/>
      <c r="E11" s="24"/>
      <c r="F11" s="24"/>
      <c r="G11" s="24"/>
      <c r="H11" s="24"/>
      <c r="I11" s="24"/>
      <c r="J11" s="24"/>
      <c r="K11" s="1"/>
      <c r="L11" s="1"/>
      <c r="M11" s="1"/>
      <c r="N11" s="1"/>
      <c r="O11" s="1"/>
      <c r="P11" s="20"/>
      <c r="Q11" s="1"/>
    </row>
    <row r="12" spans="1:19" x14ac:dyDescent="0.2">
      <c r="A12" s="21"/>
      <c r="B12" s="9" t="s">
        <v>3</v>
      </c>
      <c r="C12" s="9" t="s">
        <v>4</v>
      </c>
      <c r="D12" s="30"/>
      <c r="E12" s="9" t="s">
        <v>2</v>
      </c>
      <c r="F12" s="14" t="s">
        <v>7</v>
      </c>
      <c r="G12" s="14" t="s">
        <v>8</v>
      </c>
      <c r="H12" s="14" t="s">
        <v>9</v>
      </c>
      <c r="I12" s="69" t="s">
        <v>15</v>
      </c>
      <c r="J12" s="69" t="s">
        <v>14</v>
      </c>
      <c r="K12" s="1"/>
      <c r="L12" s="1"/>
      <c r="M12" s="1"/>
      <c r="N12" s="1"/>
      <c r="O12" s="1"/>
      <c r="P12" s="20"/>
      <c r="R12" s="81" t="s">
        <v>34</v>
      </c>
    </row>
    <row r="13" spans="1:19" x14ac:dyDescent="0.2">
      <c r="A13" s="21"/>
      <c r="B13" s="13">
        <v>4</v>
      </c>
      <c r="C13" s="13">
        <v>5</v>
      </c>
      <c r="D13" s="30"/>
      <c r="E13" s="10">
        <f>SQRT((SUMSQ($C$13)-SUMSQ($B$13)))</f>
        <v>3</v>
      </c>
      <c r="F13" s="10">
        <f>ATAN($E$13/$B$13)*180/PI()</f>
        <v>36.86989764584402</v>
      </c>
      <c r="G13" s="10">
        <f>ASIN($B$13/$C$13)*180/PI()</f>
        <v>53.13010235415598</v>
      </c>
      <c r="H13" s="11">
        <f>90</f>
        <v>90</v>
      </c>
      <c r="I13" s="71">
        <f>$E$13/$B$13*100</f>
        <v>75</v>
      </c>
      <c r="J13" s="71">
        <f>$E$13*$C$13*SIN($G$13*PI()/180)/2</f>
        <v>6</v>
      </c>
      <c r="K13" s="1"/>
      <c r="L13" s="1"/>
      <c r="M13" s="6"/>
      <c r="N13" s="1"/>
      <c r="O13" s="1"/>
      <c r="P13" s="20"/>
      <c r="R13" s="15" t="s">
        <v>35</v>
      </c>
    </row>
    <row r="14" spans="1:19" x14ac:dyDescent="0.2">
      <c r="A14" s="21"/>
      <c r="D14" s="30"/>
      <c r="K14" s="1"/>
      <c r="L14" s="7" t="s">
        <v>6</v>
      </c>
      <c r="M14" s="7"/>
      <c r="N14" s="7"/>
      <c r="O14" s="7"/>
      <c r="P14" s="20"/>
    </row>
    <row r="15" spans="1:19" x14ac:dyDescent="0.2">
      <c r="A15" s="21"/>
      <c r="B15" s="12" t="s">
        <v>2</v>
      </c>
      <c r="C15" s="14" t="s">
        <v>7</v>
      </c>
      <c r="D15" s="28"/>
      <c r="E15" s="9" t="s">
        <v>3</v>
      </c>
      <c r="F15" s="12" t="s">
        <v>4</v>
      </c>
      <c r="G15" s="14" t="s">
        <v>8</v>
      </c>
      <c r="H15" s="14" t="s">
        <v>9</v>
      </c>
      <c r="I15" s="69" t="s">
        <v>15</v>
      </c>
      <c r="J15" s="69" t="s">
        <v>14</v>
      </c>
      <c r="P15" s="20"/>
      <c r="R15" s="81" t="s">
        <v>40</v>
      </c>
    </row>
    <row r="16" spans="1:19" x14ac:dyDescent="0.2">
      <c r="A16" s="21"/>
      <c r="B16" s="13">
        <v>3</v>
      </c>
      <c r="C16" s="13">
        <v>36.869900000000001</v>
      </c>
      <c r="D16" s="29"/>
      <c r="E16" s="10">
        <f>$B$16/TAN($C$16*PI()/180)</f>
        <v>3.999999657601911</v>
      </c>
      <c r="F16" s="10">
        <f>$B$16/SIN($C$16*PI()/180)</f>
        <v>4.9999997260815325</v>
      </c>
      <c r="G16" s="10">
        <f>90-$C$16</f>
        <v>53.130099999999999</v>
      </c>
      <c r="H16" s="11">
        <f>90</f>
        <v>90</v>
      </c>
      <c r="I16" s="71">
        <f>$B$16/$E$16*100</f>
        <v>75.00000641996472</v>
      </c>
      <c r="J16" s="71">
        <f>$B$16*$F$16*SIN($G$16*PI()/180)/2</f>
        <v>5.9999994864028645</v>
      </c>
      <c r="L16" s="59" t="s">
        <v>25</v>
      </c>
      <c r="M16" s="60"/>
      <c r="N16" s="60"/>
      <c r="O16" s="61"/>
      <c r="P16" s="20"/>
      <c r="R16" s="83" t="s">
        <v>41</v>
      </c>
    </row>
    <row r="17" spans="1:18" x14ac:dyDescent="0.2">
      <c r="A17" s="21"/>
      <c r="D17" s="28"/>
      <c r="L17" s="62" t="s">
        <v>20</v>
      </c>
      <c r="M17" s="63"/>
      <c r="N17" s="63"/>
      <c r="O17" s="64"/>
      <c r="P17" s="20"/>
      <c r="R17" s="15" t="s">
        <v>42</v>
      </c>
    </row>
    <row r="18" spans="1:18" x14ac:dyDescent="0.2">
      <c r="A18" s="21"/>
      <c r="B18" s="12" t="s">
        <v>2</v>
      </c>
      <c r="C18" s="14" t="s">
        <v>8</v>
      </c>
      <c r="D18" s="28"/>
      <c r="E18" s="9" t="s">
        <v>3</v>
      </c>
      <c r="F18" s="12" t="s">
        <v>4</v>
      </c>
      <c r="G18" s="14" t="s">
        <v>7</v>
      </c>
      <c r="H18" s="14" t="s">
        <v>9</v>
      </c>
      <c r="I18" s="69" t="s">
        <v>15</v>
      </c>
      <c r="J18" s="69" t="s">
        <v>14</v>
      </c>
      <c r="P18" s="20"/>
    </row>
    <row r="19" spans="1:18" x14ac:dyDescent="0.2">
      <c r="A19" s="21"/>
      <c r="B19" s="13">
        <v>3</v>
      </c>
      <c r="C19" s="13">
        <v>53.130099999999999</v>
      </c>
      <c r="D19" s="29"/>
      <c r="E19" s="10">
        <f>$B$19*TAN($C$19*PI()/180)</f>
        <v>3.9999996576019106</v>
      </c>
      <c r="F19" s="10">
        <f>$B$19/COS($C$19*PI()/180)</f>
        <v>4.9999997260815325</v>
      </c>
      <c r="G19" s="10">
        <f>90-$C$19</f>
        <v>36.869900000000001</v>
      </c>
      <c r="H19" s="11">
        <f>90</f>
        <v>90</v>
      </c>
      <c r="I19" s="71">
        <f>$B$19/$E$19*100</f>
        <v>75.00000641996472</v>
      </c>
      <c r="J19" s="71">
        <f>$B$19*$F$19*SIN($C$19*PI()/180)/2</f>
        <v>5.9999994864028645</v>
      </c>
      <c r="P19" s="20"/>
      <c r="R19" s="81" t="s">
        <v>43</v>
      </c>
    </row>
    <row r="20" spans="1:18" x14ac:dyDescent="0.2">
      <c r="A20" s="21"/>
      <c r="D20" s="28"/>
      <c r="P20" s="20"/>
      <c r="R20" s="83" t="s">
        <v>44</v>
      </c>
    </row>
    <row r="21" spans="1:18" x14ac:dyDescent="0.2">
      <c r="A21" s="21"/>
      <c r="B21" s="12" t="s">
        <v>3</v>
      </c>
      <c r="C21" s="14" t="s">
        <v>7</v>
      </c>
      <c r="D21" s="28"/>
      <c r="E21" s="9" t="s">
        <v>2</v>
      </c>
      <c r="F21" s="12" t="s">
        <v>4</v>
      </c>
      <c r="G21" s="14" t="s">
        <v>8</v>
      </c>
      <c r="H21" s="14" t="s">
        <v>9</v>
      </c>
      <c r="I21" s="69" t="s">
        <v>15</v>
      </c>
      <c r="J21" s="69" t="s">
        <v>14</v>
      </c>
      <c r="P21" s="20"/>
      <c r="R21" s="15" t="s">
        <v>45</v>
      </c>
    </row>
    <row r="22" spans="1:18" x14ac:dyDescent="0.2">
      <c r="A22" s="21"/>
      <c r="B22" s="13">
        <v>4</v>
      </c>
      <c r="C22" s="13">
        <v>36.869900000000001</v>
      </c>
      <c r="D22" s="28"/>
      <c r="E22" s="10">
        <f>$B$22*TAN($C$22*PI()/180)</f>
        <v>3.0000002567985886</v>
      </c>
      <c r="F22" s="10">
        <f>$B$22/COS($C$22*PI()/180)</f>
        <v>5.0000001540791574</v>
      </c>
      <c r="G22" s="10">
        <f>90-$C$22</f>
        <v>53.130099999999999</v>
      </c>
      <c r="H22" s="11">
        <f>90</f>
        <v>90</v>
      </c>
      <c r="I22" s="71">
        <f>$E$22/$B$22*100</f>
        <v>75.00000641996472</v>
      </c>
      <c r="J22" s="71">
        <f>$E$22*$F$22*SIN($G$22*PI()/180)/2</f>
        <v>6.0000005135971763</v>
      </c>
      <c r="P22" s="20"/>
      <c r="R22" s="15" t="s">
        <v>48</v>
      </c>
    </row>
    <row r="23" spans="1:18" x14ac:dyDescent="0.2">
      <c r="A23" s="21"/>
      <c r="D23" s="28"/>
      <c r="P23" s="20"/>
      <c r="R23" s="83" t="s">
        <v>46</v>
      </c>
    </row>
    <row r="24" spans="1:18" x14ac:dyDescent="0.2">
      <c r="A24" s="21"/>
      <c r="B24" s="12" t="s">
        <v>3</v>
      </c>
      <c r="C24" s="14" t="s">
        <v>8</v>
      </c>
      <c r="D24" s="30"/>
      <c r="E24" s="9" t="s">
        <v>2</v>
      </c>
      <c r="F24" s="12" t="s">
        <v>4</v>
      </c>
      <c r="G24" s="14" t="s">
        <v>7</v>
      </c>
      <c r="H24" s="14" t="s">
        <v>9</v>
      </c>
      <c r="I24" s="69" t="s">
        <v>15</v>
      </c>
      <c r="J24" s="69" t="s">
        <v>14</v>
      </c>
      <c r="P24" s="20"/>
      <c r="R24" s="15" t="s">
        <v>47</v>
      </c>
    </row>
    <row r="25" spans="1:18" x14ac:dyDescent="0.2">
      <c r="A25" s="21"/>
      <c r="B25" s="13">
        <v>4</v>
      </c>
      <c r="C25" s="13">
        <v>53.130099999999999</v>
      </c>
      <c r="D25" s="30"/>
      <c r="E25" s="10">
        <f>$B$25/TAN($C$25*PI()/180)</f>
        <v>3.0000002567985891</v>
      </c>
      <c r="F25" s="10">
        <f>$B$25/SIN($C$25*PI()/180)</f>
        <v>5.0000001540791583</v>
      </c>
      <c r="G25" s="10">
        <f>90-$C$25</f>
        <v>36.869900000000001</v>
      </c>
      <c r="H25" s="11">
        <f>90</f>
        <v>90</v>
      </c>
      <c r="I25" s="71">
        <f>$E$25/$B$25*100</f>
        <v>75.00000641996472</v>
      </c>
      <c r="J25" s="71">
        <f>$E$25*$F$25*SIN($C$25*PI()/180)/2</f>
        <v>6.0000005135971781</v>
      </c>
      <c r="P25" s="20"/>
    </row>
    <row r="26" spans="1:18" x14ac:dyDescent="0.2">
      <c r="A26" s="21"/>
      <c r="D26" s="28"/>
      <c r="P26" s="20"/>
      <c r="R26" s="80" t="s">
        <v>50</v>
      </c>
    </row>
    <row r="27" spans="1:18" x14ac:dyDescent="0.2">
      <c r="A27" s="21"/>
      <c r="B27" s="12" t="s">
        <v>4</v>
      </c>
      <c r="C27" s="14" t="s">
        <v>7</v>
      </c>
      <c r="D27" s="30"/>
      <c r="E27" s="9" t="s">
        <v>2</v>
      </c>
      <c r="F27" s="12" t="s">
        <v>3</v>
      </c>
      <c r="G27" s="14" t="s">
        <v>8</v>
      </c>
      <c r="H27" s="14" t="s">
        <v>9</v>
      </c>
      <c r="I27" s="69" t="s">
        <v>15</v>
      </c>
      <c r="J27" s="69" t="s">
        <v>14</v>
      </c>
      <c r="P27" s="20"/>
      <c r="R27" s="1" t="s">
        <v>49</v>
      </c>
    </row>
    <row r="28" spans="1:18" x14ac:dyDescent="0.2">
      <c r="A28" s="21"/>
      <c r="B28" s="13">
        <v>5</v>
      </c>
      <c r="C28" s="13">
        <v>36.869900000000001</v>
      </c>
      <c r="D28" s="30"/>
      <c r="E28" s="10">
        <f>$B$28*SIN($C$28*PI()/180)</f>
        <v>3.0000001643510892</v>
      </c>
      <c r="F28" s="10">
        <f>$B$28*COS($C$28*PI()/180)</f>
        <v>3.9999998767366778</v>
      </c>
      <c r="G28" s="10">
        <f>90-$C$28</f>
        <v>53.130099999999999</v>
      </c>
      <c r="H28" s="11">
        <f>90</f>
        <v>90</v>
      </c>
      <c r="I28" s="71">
        <f>$E$28/$F$28*100</f>
        <v>75.00000641996472</v>
      </c>
      <c r="J28" s="71">
        <f>$E$28*$B$28*SIN($G$28*PI()/180)/2</f>
        <v>6.0000001438071839</v>
      </c>
      <c r="P28" s="20"/>
    </row>
    <row r="29" spans="1:18" x14ac:dyDescent="0.2">
      <c r="A29" s="21"/>
      <c r="D29" s="28"/>
      <c r="P29" s="20"/>
    </row>
    <row r="30" spans="1:18" x14ac:dyDescent="0.2">
      <c r="A30" s="21"/>
      <c r="B30" s="9" t="s">
        <v>4</v>
      </c>
      <c r="C30" s="14" t="s">
        <v>8</v>
      </c>
      <c r="D30" s="30"/>
      <c r="E30" s="9" t="s">
        <v>2</v>
      </c>
      <c r="F30" s="12" t="s">
        <v>3</v>
      </c>
      <c r="G30" s="14" t="s">
        <v>7</v>
      </c>
      <c r="H30" s="14" t="s">
        <v>9</v>
      </c>
      <c r="I30" s="69" t="s">
        <v>15</v>
      </c>
      <c r="J30" s="69" t="s">
        <v>14</v>
      </c>
      <c r="P30" s="20"/>
    </row>
    <row r="31" spans="1:18" x14ac:dyDescent="0.2">
      <c r="A31" s="21"/>
      <c r="B31" s="13">
        <v>5</v>
      </c>
      <c r="C31" s="13">
        <v>53.130099999999999</v>
      </c>
      <c r="D31" s="30"/>
      <c r="E31" s="10">
        <f>$B$31*(COS($C$31*PI()/180))</f>
        <v>3.0000001643510892</v>
      </c>
      <c r="F31" s="10">
        <f>(SIN($C$31*PI()/180))*$B$31</f>
        <v>3.9999998767366773</v>
      </c>
      <c r="G31" s="10">
        <f>90-$C$31</f>
        <v>36.869900000000001</v>
      </c>
      <c r="H31" s="11">
        <f>90</f>
        <v>90</v>
      </c>
      <c r="I31" s="71">
        <f>$E$31/$F$31*100</f>
        <v>75.00000641996472</v>
      </c>
      <c r="J31" s="71">
        <f>$E$31*$B$31*SIN($C$31*PI()/180)/2</f>
        <v>6.0000001438071839</v>
      </c>
      <c r="P31" s="20"/>
    </row>
    <row r="32" spans="1:18" x14ac:dyDescent="0.2">
      <c r="A32" s="21"/>
      <c r="P32" s="20"/>
    </row>
    <row r="33" spans="1:16" x14ac:dyDescent="0.2">
      <c r="A33" s="21"/>
      <c r="P33" s="20"/>
    </row>
    <row r="34" spans="1:16" x14ac:dyDescent="0.2">
      <c r="A34" s="21"/>
      <c r="P34" s="20"/>
    </row>
    <row r="35" spans="1:16" x14ac:dyDescent="0.2">
      <c r="A35" s="21"/>
      <c r="P35" s="20"/>
    </row>
    <row r="36" spans="1:16" x14ac:dyDescent="0.2">
      <c r="A36" s="21"/>
      <c r="P36" s="20"/>
    </row>
    <row r="37" spans="1:16" x14ac:dyDescent="0.2">
      <c r="A37" s="21"/>
      <c r="D37" s="23"/>
      <c r="P37" s="20"/>
    </row>
    <row r="38" spans="1:16" x14ac:dyDescent="0.2">
      <c r="A38" s="21"/>
      <c r="P38" s="20"/>
    </row>
    <row r="39" spans="1:16" x14ac:dyDescent="0.2">
      <c r="A39" s="21"/>
      <c r="P39" s="20"/>
    </row>
    <row r="40" spans="1:16" x14ac:dyDescent="0.2">
      <c r="A40" s="21"/>
      <c r="P40" s="20"/>
    </row>
    <row r="41" spans="1:16" x14ac:dyDescent="0.2">
      <c r="A41" s="21"/>
      <c r="P41" s="20"/>
    </row>
    <row r="42" spans="1:16" x14ac:dyDescent="0.2">
      <c r="A42" s="21"/>
      <c r="P42" s="20"/>
    </row>
    <row r="43" spans="1:16" x14ac:dyDescent="0.2">
      <c r="A43" s="21"/>
      <c r="P43" s="20"/>
    </row>
    <row r="44" spans="1:16" x14ac:dyDescent="0.2">
      <c r="A44" s="25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7"/>
    </row>
  </sheetData>
  <sheetProtection sheet="1" objects="1" scenarios="1"/>
  <phoneticPr fontId="29" type="noConversion"/>
  <dataValidations count="1">
    <dataValidation type="decimal" operator="greaterThan" allowBlank="1" showInputMessage="1" showErrorMessage="1" sqref="B7:C7 B10:C10 B13:C13 B16:C16 B19:C19 B22:C22 B25:C25 B28:C28 B31:C31" xr:uid="{623C1DAA-470A-4EBB-B4B4-FCCE14F31076}">
      <formula1>0</formula1>
    </dataValidation>
  </dataValidations>
  <pageMargins left="0.75" right="0.75" top="1" bottom="1" header="0.5" footer="0.5"/>
  <pageSetup scale="84" orientation="landscape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35CC3-527F-44E0-8902-36E1132C3DDD}">
  <dimension ref="A1:AW72"/>
  <sheetViews>
    <sheetView showGridLines="0" zoomScale="90" zoomScaleNormal="100" workbookViewId="0">
      <selection activeCell="A3" sqref="A3"/>
    </sheetView>
  </sheetViews>
  <sheetFormatPr defaultColWidth="8.85546875" defaultRowHeight="12.75" x14ac:dyDescent="0.2"/>
  <cols>
    <col min="1" max="1" width="9.140625" style="15" customWidth="1"/>
    <col min="2" max="4" width="9.28515625" style="15" bestFit="1" customWidth="1"/>
    <col min="5" max="5" width="9.140625" style="15" customWidth="1"/>
    <col min="6" max="8" width="9.28515625" style="15" bestFit="1" customWidth="1"/>
    <col min="9" max="9" width="9.28515625" bestFit="1" customWidth="1"/>
    <col min="10" max="26" width="9.140625" style="15" customWidth="1"/>
    <col min="27" max="47" width="8.85546875" style="15" customWidth="1"/>
    <col min="48" max="48" width="10.7109375" style="15" customWidth="1"/>
    <col min="49" max="49" width="12.140625" style="15" customWidth="1"/>
    <col min="50" max="16384" width="8.85546875" style="15"/>
  </cols>
  <sheetData>
    <row r="1" spans="1:19" ht="15.75" x14ac:dyDescent="0.25">
      <c r="A1" s="45" t="s">
        <v>13</v>
      </c>
      <c r="B1" s="17"/>
      <c r="C1" s="17"/>
      <c r="D1" s="17"/>
      <c r="E1" s="17"/>
      <c r="F1" s="17"/>
      <c r="G1" s="17"/>
      <c r="H1" s="17"/>
      <c r="I1" s="67"/>
      <c r="J1" s="17"/>
      <c r="K1" s="17"/>
      <c r="L1" s="17"/>
      <c r="M1" s="17"/>
      <c r="N1" s="17"/>
      <c r="O1" s="18"/>
      <c r="P1" s="3" t="s">
        <v>5</v>
      </c>
    </row>
    <row r="2" spans="1:19" x14ac:dyDescent="0.2">
      <c r="A2" s="21"/>
      <c r="E2" s="56"/>
      <c r="O2" s="20"/>
    </row>
    <row r="3" spans="1:19" x14ac:dyDescent="0.2">
      <c r="A3" s="46"/>
      <c r="O3" s="20"/>
    </row>
    <row r="4" spans="1:19" x14ac:dyDescent="0.2">
      <c r="A4" s="46"/>
      <c r="O4" s="20"/>
      <c r="Q4" s="80" t="s">
        <v>26</v>
      </c>
    </row>
    <row r="5" spans="1:19" x14ac:dyDescent="0.2">
      <c r="A5" s="21"/>
      <c r="B5" s="31" t="s">
        <v>0</v>
      </c>
      <c r="C5" s="32"/>
      <c r="D5" s="32"/>
      <c r="E5" s="56"/>
      <c r="F5" s="31" t="s">
        <v>1</v>
      </c>
      <c r="G5" s="32"/>
      <c r="H5" s="32"/>
      <c r="I5" s="70"/>
      <c r="J5" s="1"/>
      <c r="K5" s="1"/>
      <c r="L5" s="1"/>
      <c r="M5" s="1"/>
      <c r="N5" s="1"/>
      <c r="O5" s="20"/>
      <c r="Q5" s="1" t="s">
        <v>27</v>
      </c>
    </row>
    <row r="6" spans="1:19" x14ac:dyDescent="0.2">
      <c r="A6" s="21"/>
      <c r="B6" s="44" t="s">
        <v>2</v>
      </c>
      <c r="C6" s="44" t="s">
        <v>3</v>
      </c>
      <c r="D6" s="44" t="s">
        <v>4</v>
      </c>
      <c r="F6" s="14" t="s">
        <v>7</v>
      </c>
      <c r="G6" s="14" t="s">
        <v>8</v>
      </c>
      <c r="H6" s="14" t="s">
        <v>9</v>
      </c>
      <c r="I6" s="69" t="s">
        <v>14</v>
      </c>
      <c r="J6" s="1"/>
      <c r="K6" s="1"/>
      <c r="L6" s="1"/>
      <c r="M6" s="1"/>
      <c r="N6" s="1"/>
      <c r="O6" s="20"/>
      <c r="Q6" s="1"/>
    </row>
    <row r="7" spans="1:19" x14ac:dyDescent="0.2">
      <c r="A7" s="21"/>
      <c r="B7" s="42">
        <v>10</v>
      </c>
      <c r="C7" s="42">
        <v>20</v>
      </c>
      <c r="D7" s="42">
        <v>22</v>
      </c>
      <c r="F7" s="43">
        <f>ASIN($B$7*(SIN($H$7*PI()/180)/$D$7))*180/PI()</f>
        <v>27.012293958866454</v>
      </c>
      <c r="G7" s="43">
        <f>180-$H$7-$F$7</f>
        <v>65.280148817089426</v>
      </c>
      <c r="H7" s="43">
        <f>ACOS((SUMSQ($B$7)+SUMSQ($C$7)-SUMSQ($D$7))/(2*$B$7*$C$7))*180/PI()</f>
        <v>87.707557224044123</v>
      </c>
      <c r="I7" s="71">
        <f>$B$7*$D$7*SIN($G$7*PI()/180)/2</f>
        <v>99.919967974374359</v>
      </c>
      <c r="J7" s="1"/>
      <c r="K7" s="1"/>
      <c r="L7" s="6"/>
      <c r="M7" s="1"/>
      <c r="N7" s="1"/>
      <c r="O7" s="20"/>
      <c r="Q7" s="80" t="s">
        <v>28</v>
      </c>
    </row>
    <row r="8" spans="1:19" x14ac:dyDescent="0.2">
      <c r="A8" s="21"/>
      <c r="J8" s="6"/>
      <c r="K8" s="1"/>
      <c r="L8" s="1"/>
      <c r="M8" s="1"/>
      <c r="N8" s="1"/>
      <c r="O8" s="20"/>
      <c r="Q8" s="1" t="s">
        <v>29</v>
      </c>
    </row>
    <row r="9" spans="1:19" x14ac:dyDescent="0.2">
      <c r="A9" s="21"/>
      <c r="B9" s="44" t="s">
        <v>2</v>
      </c>
      <c r="C9" s="44" t="s">
        <v>4</v>
      </c>
      <c r="D9" s="14" t="s">
        <v>8</v>
      </c>
      <c r="F9" s="44" t="s">
        <v>3</v>
      </c>
      <c r="G9" s="14" t="s">
        <v>7</v>
      </c>
      <c r="H9" s="14" t="s">
        <v>9</v>
      </c>
      <c r="I9" s="69" t="s">
        <v>14</v>
      </c>
      <c r="J9" s="1"/>
      <c r="K9" s="1"/>
      <c r="L9" s="1"/>
      <c r="M9" s="1"/>
      <c r="N9" s="1"/>
      <c r="O9" s="20"/>
      <c r="Q9" s="15" t="s">
        <v>30</v>
      </c>
    </row>
    <row r="10" spans="1:19" x14ac:dyDescent="0.2">
      <c r="A10" s="21"/>
      <c r="B10" s="42">
        <v>10</v>
      </c>
      <c r="C10" s="42">
        <v>22</v>
      </c>
      <c r="D10" s="42">
        <v>65.280100000000004</v>
      </c>
      <c r="F10" s="43">
        <f>$C$10*SIN($D$10*PI()/180)/SIN($H$10*PI()/180)</f>
        <v>19.999991486629323</v>
      </c>
      <c r="G10" s="43">
        <f>IF((ATAN(($C$10*SIN($D$10*PI()/180))/($B$10-($C$10*COS($D$10*PI()/180))))*180/PI())&gt;0,(IF((ATAN(($C$10*SIN($D$10*PI()/180))/($B$10-($C$10*COS($D$10*PI()/180))))*180/PI())&gt;0,180-$D$10-(ATAN(($C$10*SIN($D$10*PI()/180))/($B$10-($C$10*COS($D$10*PI()/180))))*180/PI()))),(IF((IF((ATAN(($C$10*SIN($D$10*PI()/180))/($B$10-($C$10*COS($D$10*PI()/180))))*180/PI())&lt;0,180+(ATAN(($C$10*SIN($D$10*PI()/180))/($B$10-($C$10*COS($D$10*PI()/180))))*180/PI())))&gt;0,180-$D$10-(IF((ATAN(($C$10*SIN($D$10*PI()/180))/($B$10-($C$10*COS($D$10*PI()/180))))*180/PI())&lt;0,180+(ATAN(($C$10*SIN($D$10*PI()/180))/($B$10-($C$10*COS($D$10*PI()/180))))*180/PI()))))))</f>
        <v>27.012294935198284</v>
      </c>
      <c r="H10" s="43">
        <f>IF((ATAN(($C$10*SIN($D$10*PI()/180))/($B$10-($C$10*COS($D$10*PI()/180))))*180/PI())&gt;0,(ATAN(($C$10*SIN($D$10*PI()/180))/($B$10-($C$10*COS($D$10*PI()/180))))*180/PI()),(IF((ATAN(($C$10*SIN(D10*PI()/180))/($B$10-($C$10*COS($D$10*PI()/180))))*180/PI())&lt;0,180+(ATAN(($C$10*SIN($D$10*PI()/180))/($B$10-($C$10*COS($D$10*PI()/180))))*180/PI()))))</f>
        <v>87.707605064801712</v>
      </c>
      <c r="I10" s="71">
        <f>$B$10*$C$10*SIN($D$10*PI()/180)/2</f>
        <v>99.919928781466794</v>
      </c>
      <c r="J10" s="1"/>
      <c r="K10" s="1"/>
      <c r="L10" s="1"/>
      <c r="M10" s="1"/>
      <c r="N10" s="1"/>
      <c r="O10" s="20"/>
      <c r="Q10" s="15" t="s">
        <v>31</v>
      </c>
    </row>
    <row r="11" spans="1:19" x14ac:dyDescent="0.2">
      <c r="A11" s="21"/>
      <c r="E11" s="56"/>
      <c r="J11" s="1"/>
      <c r="K11" s="1"/>
      <c r="L11" s="1"/>
      <c r="M11" s="1"/>
      <c r="N11" s="1"/>
      <c r="O11" s="20"/>
    </row>
    <row r="12" spans="1:19" x14ac:dyDescent="0.2">
      <c r="A12" s="21"/>
      <c r="B12" s="44" t="s">
        <v>2</v>
      </c>
      <c r="C12" s="44" t="s">
        <v>4</v>
      </c>
      <c r="D12" s="14" t="s">
        <v>9</v>
      </c>
      <c r="F12" s="44" t="s">
        <v>3</v>
      </c>
      <c r="G12" s="14" t="s">
        <v>7</v>
      </c>
      <c r="H12" s="14" t="s">
        <v>8</v>
      </c>
      <c r="I12" s="69" t="s">
        <v>14</v>
      </c>
      <c r="J12" s="1"/>
      <c r="K12" s="1"/>
      <c r="L12" s="6"/>
      <c r="M12" s="1"/>
      <c r="N12" s="1"/>
      <c r="O12" s="20"/>
      <c r="Q12" s="81" t="s">
        <v>32</v>
      </c>
      <c r="S12" s="28" t="s">
        <v>36</v>
      </c>
    </row>
    <row r="13" spans="1:19" x14ac:dyDescent="0.2">
      <c r="A13" s="21"/>
      <c r="B13" s="42">
        <v>10</v>
      </c>
      <c r="C13" s="42">
        <v>22</v>
      </c>
      <c r="D13" s="42">
        <v>87.707599999999999</v>
      </c>
      <c r="F13" s="43">
        <f>$C$13*SIN($H$13*PI()/180)/SIN($D$13*PI()/180)</f>
        <v>19.999992387922052</v>
      </c>
      <c r="G13" s="43">
        <f>ASIN($B$13*SIN($D$13*PI()/180)/$C$13)*180/PI()</f>
        <v>27.012294831837014</v>
      </c>
      <c r="H13" s="43">
        <f>180-$G$13-$D$13</f>
        <v>65.28010516816299</v>
      </c>
      <c r="I13" s="71">
        <f>$B$13*$C$13*SIN($H$13*PI()/180)/2</f>
        <v>99.91993293074124</v>
      </c>
      <c r="J13" s="1"/>
      <c r="K13" s="7" t="s">
        <v>16</v>
      </c>
      <c r="L13" s="7"/>
      <c r="M13" s="7"/>
      <c r="N13" s="7"/>
      <c r="O13" s="47"/>
      <c r="Q13" s="15" t="s">
        <v>39</v>
      </c>
    </row>
    <row r="14" spans="1:19" x14ac:dyDescent="0.2">
      <c r="A14" s="21"/>
      <c r="B14" s="39"/>
      <c r="C14" s="40"/>
      <c r="D14" s="39"/>
      <c r="E14" s="57"/>
      <c r="F14" s="41"/>
      <c r="G14" s="41"/>
      <c r="H14" s="39"/>
      <c r="K14" s="52" t="s">
        <v>10</v>
      </c>
      <c r="L14" s="58"/>
      <c r="M14" s="58"/>
      <c r="N14" s="58"/>
      <c r="O14" s="20"/>
      <c r="Q14" s="28"/>
    </row>
    <row r="15" spans="1:19" x14ac:dyDescent="0.2">
      <c r="A15" s="48"/>
      <c r="B15" s="44" t="s">
        <v>2</v>
      </c>
      <c r="C15" s="14" t="s">
        <v>7</v>
      </c>
      <c r="D15" s="14" t="s">
        <v>8</v>
      </c>
      <c r="F15" s="44" t="s">
        <v>3</v>
      </c>
      <c r="G15" s="44" t="s">
        <v>4</v>
      </c>
      <c r="H15" s="14" t="s">
        <v>9</v>
      </c>
      <c r="I15" s="69" t="s">
        <v>14</v>
      </c>
      <c r="J15" s="34"/>
      <c r="K15" s="34"/>
      <c r="L15" s="34"/>
      <c r="M15" s="34"/>
      <c r="N15" s="34"/>
      <c r="O15" s="47"/>
      <c r="Q15" s="81" t="s">
        <v>33</v>
      </c>
      <c r="S15" s="28" t="s">
        <v>37</v>
      </c>
    </row>
    <row r="16" spans="1:19" x14ac:dyDescent="0.2">
      <c r="A16" s="21"/>
      <c r="B16" s="42">
        <v>12</v>
      </c>
      <c r="C16" s="42">
        <v>25</v>
      </c>
      <c r="D16" s="42">
        <v>40</v>
      </c>
      <c r="F16" s="43">
        <f>($B$16*SIN($D$16*PI()/180))/SIN($C$16*PI()/180)</f>
        <v>18.251580716053194</v>
      </c>
      <c r="G16" s="43">
        <f>$B$16*SIN($H$16*PI()/180)/SIN($C$16*PI()/180)</f>
        <v>25.734083046114705</v>
      </c>
      <c r="H16" s="43">
        <f>180-$D$16-$C$16</f>
        <v>115</v>
      </c>
      <c r="I16" s="71">
        <f>$B$16*$G$16*SIN($D$16*PI()/180)/2</f>
        <v>99.2492983721218</v>
      </c>
      <c r="J16" s="34"/>
      <c r="O16" s="20"/>
      <c r="Q16" s="15" t="s">
        <v>38</v>
      </c>
    </row>
    <row r="17" spans="1:49" x14ac:dyDescent="0.2">
      <c r="A17" s="48"/>
      <c r="B17" s="39"/>
      <c r="C17" s="39"/>
      <c r="D17" s="39"/>
      <c r="E17" s="57"/>
      <c r="F17" s="41"/>
      <c r="G17" s="40"/>
      <c r="H17" s="39"/>
      <c r="J17" s="49"/>
      <c r="K17" s="34"/>
      <c r="L17" s="34"/>
      <c r="M17" s="34"/>
      <c r="N17" s="34"/>
      <c r="O17" s="20"/>
    </row>
    <row r="18" spans="1:49" x14ac:dyDescent="0.2">
      <c r="A18" s="48"/>
      <c r="B18" s="44" t="s">
        <v>4</v>
      </c>
      <c r="C18" s="14" t="s">
        <v>7</v>
      </c>
      <c r="D18" s="14" t="s">
        <v>9</v>
      </c>
      <c r="F18" s="44" t="s">
        <v>2</v>
      </c>
      <c r="G18" s="44" t="s">
        <v>3</v>
      </c>
      <c r="H18" s="14" t="s">
        <v>8</v>
      </c>
      <c r="I18" s="69" t="s">
        <v>14</v>
      </c>
      <c r="J18" s="1"/>
      <c r="K18" s="1"/>
      <c r="L18" s="1"/>
      <c r="M18" s="1"/>
      <c r="N18" s="1"/>
      <c r="O18" s="20"/>
      <c r="Q18" s="80" t="s">
        <v>50</v>
      </c>
      <c r="R18" s="82"/>
      <c r="S18" s="82"/>
      <c r="T18" s="82"/>
      <c r="U18" s="82"/>
      <c r="V18" s="82"/>
    </row>
    <row r="19" spans="1:49" x14ac:dyDescent="0.2">
      <c r="A19" s="21"/>
      <c r="B19" s="42">
        <v>25.734100000000002</v>
      </c>
      <c r="C19" s="42">
        <v>25</v>
      </c>
      <c r="D19" s="42">
        <v>115</v>
      </c>
      <c r="F19" s="43">
        <f>($B$19*SIN($C$19*PI()/180))/SIN($D$19*PI()/180)</f>
        <v>12.00000790572655</v>
      </c>
      <c r="G19" s="43">
        <f>$B$19*SIN($H$19*PI()/180)/SIN($D$19*PI()/180)</f>
        <v>18.251592740387046</v>
      </c>
      <c r="H19" s="43">
        <f>180-$C$19-$D$19</f>
        <v>40</v>
      </c>
      <c r="I19" s="71">
        <f>$F$19*$B$19*SIN($H$19*PI()/180)/2</f>
        <v>99.249429145133746</v>
      </c>
      <c r="J19" s="1"/>
      <c r="K19" s="1"/>
      <c r="L19" s="6"/>
      <c r="M19" s="1"/>
      <c r="N19" s="1"/>
      <c r="O19" s="20"/>
      <c r="Q19" s="1" t="s">
        <v>49</v>
      </c>
    </row>
    <row r="20" spans="1:49" x14ac:dyDescent="0.2">
      <c r="A20" s="48"/>
      <c r="B20" s="39"/>
      <c r="C20" s="40"/>
      <c r="D20" s="40"/>
      <c r="E20" s="57"/>
      <c r="F20" s="41"/>
      <c r="G20" s="39"/>
      <c r="H20" s="39"/>
      <c r="J20" s="6"/>
      <c r="K20" s="1"/>
      <c r="L20" s="1"/>
      <c r="M20" s="1"/>
      <c r="N20" s="1"/>
      <c r="O20" s="20"/>
    </row>
    <row r="21" spans="1:49" x14ac:dyDescent="0.2">
      <c r="A21" s="48"/>
      <c r="B21" s="44" t="s">
        <v>4</v>
      </c>
      <c r="C21" s="14" t="s">
        <v>8</v>
      </c>
      <c r="D21" s="14" t="s">
        <v>9</v>
      </c>
      <c r="F21" s="44" t="s">
        <v>2</v>
      </c>
      <c r="G21" s="44" t="s">
        <v>3</v>
      </c>
      <c r="H21" s="14" t="s">
        <v>7</v>
      </c>
      <c r="I21" s="69" t="s">
        <v>14</v>
      </c>
      <c r="J21" s="1"/>
      <c r="K21" s="1"/>
      <c r="L21" s="1"/>
      <c r="M21" s="1"/>
      <c r="N21" s="1"/>
      <c r="O21" s="20"/>
    </row>
    <row r="22" spans="1:49" x14ac:dyDescent="0.2">
      <c r="A22" s="21"/>
      <c r="B22" s="42">
        <v>25.734100000000002</v>
      </c>
      <c r="C22" s="42">
        <v>40</v>
      </c>
      <c r="D22" s="42">
        <v>115</v>
      </c>
      <c r="F22" s="43">
        <f>($B$22*SIN($H$22*PI()/180))/SIN($D$22*PI()/180)</f>
        <v>12.00000790572655</v>
      </c>
      <c r="G22" s="43">
        <f>$B$22*SIN($C$22*PI()/180)/SIN($D$22*PI()/180)</f>
        <v>18.251592740387046</v>
      </c>
      <c r="H22" s="43">
        <f>180-$D$22-$C$22</f>
        <v>25</v>
      </c>
      <c r="I22" s="71">
        <f>$F$22*$B$22*SIN($C$22*PI()/180)/2</f>
        <v>99.249429145133746</v>
      </c>
      <c r="J22" s="1"/>
      <c r="K22" s="1"/>
      <c r="L22" s="1"/>
      <c r="M22" s="1"/>
      <c r="N22" s="1"/>
      <c r="O22" s="20"/>
    </row>
    <row r="23" spans="1:49" x14ac:dyDescent="0.2">
      <c r="A23" s="21"/>
      <c r="E23" s="56"/>
      <c r="J23" s="1"/>
      <c r="K23" s="1"/>
      <c r="L23" s="1"/>
      <c r="M23" s="1"/>
      <c r="N23" s="1"/>
      <c r="O23" s="47"/>
      <c r="AV23" s="36"/>
      <c r="AW23" s="36"/>
    </row>
    <row r="24" spans="1:49" x14ac:dyDescent="0.2">
      <c r="A24" s="21"/>
      <c r="E24" s="56"/>
      <c r="F24" s="82"/>
      <c r="G24" s="82"/>
      <c r="J24" s="1"/>
      <c r="K24" s="1"/>
      <c r="L24" s="6"/>
      <c r="M24" s="1"/>
      <c r="N24" s="1"/>
      <c r="O24" s="47"/>
      <c r="AV24" s="37"/>
      <c r="AW24" s="36"/>
    </row>
    <row r="25" spans="1:49" x14ac:dyDescent="0.2">
      <c r="A25" s="21"/>
      <c r="J25" s="49"/>
      <c r="K25" s="7" t="s">
        <v>17</v>
      </c>
      <c r="L25" s="7"/>
      <c r="M25" s="7"/>
      <c r="N25" s="7"/>
      <c r="O25" s="20"/>
      <c r="AV25" s="35"/>
      <c r="AW25" s="38"/>
    </row>
    <row r="26" spans="1:49" x14ac:dyDescent="0.2">
      <c r="A26" s="21"/>
      <c r="J26" s="49"/>
      <c r="K26" s="52" t="s">
        <v>11</v>
      </c>
      <c r="L26" s="53"/>
      <c r="M26" s="53"/>
      <c r="N26" s="53"/>
      <c r="O26" s="20"/>
    </row>
    <row r="27" spans="1:49" x14ac:dyDescent="0.2">
      <c r="A27" s="48"/>
      <c r="O27" s="20"/>
    </row>
    <row r="28" spans="1:49" x14ac:dyDescent="0.2">
      <c r="A28" s="21"/>
      <c r="C28" s="66" t="s">
        <v>18</v>
      </c>
      <c r="D28" s="60"/>
      <c r="E28" s="60"/>
      <c r="F28" s="65"/>
      <c r="G28" s="60"/>
      <c r="H28" s="61"/>
      <c r="K28" s="59" t="s">
        <v>25</v>
      </c>
      <c r="L28" s="60"/>
      <c r="M28" s="60"/>
      <c r="N28" s="61"/>
      <c r="O28" s="20"/>
    </row>
    <row r="29" spans="1:49" x14ac:dyDescent="0.2">
      <c r="A29" s="21"/>
      <c r="C29" s="63" t="s">
        <v>19</v>
      </c>
      <c r="D29" s="63"/>
      <c r="E29" s="63"/>
      <c r="F29" s="63"/>
      <c r="G29" s="63"/>
      <c r="H29" s="64"/>
      <c r="K29" s="62" t="s">
        <v>20</v>
      </c>
      <c r="L29" s="63"/>
      <c r="M29" s="63"/>
      <c r="N29" s="64"/>
      <c r="O29" s="20"/>
    </row>
    <row r="30" spans="1:49" x14ac:dyDescent="0.2">
      <c r="A30" s="48"/>
      <c r="O30" s="20"/>
    </row>
    <row r="31" spans="1:49" x14ac:dyDescent="0.2">
      <c r="A31" s="21"/>
      <c r="B31" s="34"/>
      <c r="C31" s="34"/>
      <c r="D31" s="34"/>
      <c r="E31" s="34"/>
      <c r="F31" s="34"/>
      <c r="G31" s="34"/>
      <c r="H31" s="34"/>
      <c r="O31" s="20"/>
    </row>
    <row r="32" spans="1:49" x14ac:dyDescent="0.2">
      <c r="A32" s="21"/>
      <c r="O32" s="20"/>
    </row>
    <row r="33" spans="1:15" x14ac:dyDescent="0.2">
      <c r="A33" s="21"/>
      <c r="J33" s="1"/>
      <c r="K33" s="54"/>
      <c r="L33" s="54"/>
      <c r="M33" s="54"/>
      <c r="N33" s="54"/>
      <c r="O33" s="20"/>
    </row>
    <row r="34" spans="1:15" x14ac:dyDescent="0.2">
      <c r="A34" s="21"/>
      <c r="K34" s="55"/>
      <c r="L34" s="56"/>
      <c r="M34" s="56"/>
      <c r="N34" s="56"/>
      <c r="O34" s="20"/>
    </row>
    <row r="35" spans="1:15" x14ac:dyDescent="0.2">
      <c r="A35" s="21"/>
      <c r="J35" s="34"/>
      <c r="K35" s="34"/>
      <c r="L35" s="34"/>
      <c r="M35" s="34"/>
      <c r="N35" s="34"/>
      <c r="O35" s="47"/>
    </row>
    <row r="36" spans="1:15" x14ac:dyDescent="0.2">
      <c r="A36" s="21"/>
      <c r="J36" s="34"/>
      <c r="K36" s="34"/>
      <c r="L36" s="34"/>
      <c r="M36" s="34"/>
      <c r="N36" s="34"/>
      <c r="O36" s="47"/>
    </row>
    <row r="37" spans="1:15" x14ac:dyDescent="0.2">
      <c r="A37" s="21"/>
      <c r="B37" s="34"/>
      <c r="C37" s="34"/>
      <c r="D37" s="34"/>
      <c r="E37" s="34"/>
      <c r="F37" s="34"/>
      <c r="G37" s="34"/>
      <c r="H37" s="34"/>
      <c r="J37" s="34"/>
      <c r="K37" s="34"/>
      <c r="L37" s="34"/>
      <c r="M37" s="34"/>
      <c r="N37" s="34"/>
      <c r="O37" s="47"/>
    </row>
    <row r="38" spans="1:15" x14ac:dyDescent="0.2">
      <c r="A38" s="21"/>
      <c r="B38" s="34"/>
      <c r="C38" s="34"/>
      <c r="D38" s="34"/>
      <c r="E38" s="34"/>
      <c r="F38" s="34"/>
      <c r="G38" s="34"/>
      <c r="H38" s="34"/>
      <c r="J38" s="34"/>
      <c r="K38" s="34"/>
      <c r="L38" s="34"/>
      <c r="M38" s="34"/>
      <c r="N38" s="34"/>
      <c r="O38" s="47"/>
    </row>
    <row r="39" spans="1:15" x14ac:dyDescent="0.2">
      <c r="A39" s="21"/>
      <c r="B39" s="34"/>
      <c r="C39" s="34"/>
      <c r="D39" s="34"/>
      <c r="E39" s="34"/>
      <c r="F39" s="34"/>
      <c r="G39" s="34"/>
      <c r="H39" s="34"/>
      <c r="J39" s="34"/>
      <c r="K39" s="34"/>
      <c r="L39" s="34"/>
      <c r="M39" s="34"/>
      <c r="N39" s="34"/>
      <c r="O39" s="47"/>
    </row>
    <row r="40" spans="1:15" x14ac:dyDescent="0.2">
      <c r="A40" s="25"/>
      <c r="B40" s="50"/>
      <c r="C40" s="50"/>
      <c r="D40" s="50"/>
      <c r="E40" s="50"/>
      <c r="F40" s="50"/>
      <c r="G40" s="50"/>
      <c r="H40" s="50"/>
      <c r="I40" s="68"/>
      <c r="J40" s="50"/>
      <c r="K40" s="50"/>
      <c r="L40" s="50"/>
      <c r="M40" s="50"/>
      <c r="N40" s="50"/>
      <c r="O40" s="51"/>
    </row>
    <row r="41" spans="1:15" x14ac:dyDescent="0.2">
      <c r="B41" s="34"/>
      <c r="C41" s="34"/>
      <c r="D41" s="34"/>
      <c r="E41" s="34"/>
      <c r="F41" s="34"/>
      <c r="G41" s="34"/>
      <c r="H41" s="34"/>
      <c r="J41" s="34"/>
      <c r="K41" s="34"/>
      <c r="L41" s="34"/>
      <c r="M41" s="34"/>
      <c r="N41" s="34"/>
      <c r="O41" s="34"/>
    </row>
    <row r="42" spans="1:15" x14ac:dyDescent="0.2">
      <c r="B42" s="34"/>
      <c r="C42" s="34"/>
      <c r="D42" s="34"/>
      <c r="E42" s="34"/>
      <c r="F42" s="34"/>
      <c r="G42" s="34"/>
      <c r="H42" s="34"/>
      <c r="J42" s="34"/>
      <c r="K42" s="34"/>
      <c r="L42" s="34"/>
      <c r="M42" s="34"/>
      <c r="N42" s="34"/>
      <c r="O42" s="34"/>
    </row>
    <row r="43" spans="1:15" x14ac:dyDescent="0.2">
      <c r="B43" s="34"/>
      <c r="C43" s="34"/>
      <c r="D43" s="34"/>
      <c r="E43" s="34"/>
      <c r="F43" s="34"/>
      <c r="G43" s="34"/>
      <c r="H43" s="34"/>
      <c r="J43" s="34"/>
      <c r="K43" s="34"/>
      <c r="L43" s="34"/>
      <c r="M43" s="34"/>
      <c r="N43" s="34"/>
      <c r="O43" s="34"/>
    </row>
    <row r="44" spans="1:15" x14ac:dyDescent="0.2">
      <c r="B44" s="34"/>
      <c r="C44" s="34"/>
      <c r="D44" s="34"/>
      <c r="E44" s="34"/>
      <c r="F44" s="34"/>
      <c r="G44" s="34"/>
      <c r="H44" s="34"/>
      <c r="J44" s="34"/>
      <c r="K44" s="34"/>
      <c r="L44" s="34"/>
      <c r="M44" s="34"/>
      <c r="N44" s="34"/>
      <c r="O44" s="34"/>
    </row>
    <row r="45" spans="1:15" x14ac:dyDescent="0.2">
      <c r="B45" s="34"/>
      <c r="C45" s="34"/>
      <c r="D45" s="34"/>
      <c r="E45" s="34"/>
      <c r="F45" s="34"/>
      <c r="G45" s="34"/>
      <c r="H45" s="34"/>
      <c r="J45" s="34"/>
      <c r="K45" s="34"/>
      <c r="L45" s="34"/>
      <c r="M45" s="34"/>
      <c r="N45" s="34"/>
      <c r="O45" s="34"/>
    </row>
    <row r="46" spans="1:15" x14ac:dyDescent="0.2">
      <c r="B46" s="34"/>
      <c r="C46" s="34"/>
      <c r="D46" s="34"/>
      <c r="E46" s="34"/>
      <c r="F46" s="34"/>
      <c r="G46" s="34"/>
      <c r="H46" s="34"/>
      <c r="J46" s="34"/>
      <c r="K46" s="34"/>
      <c r="L46" s="34"/>
      <c r="M46" s="34"/>
      <c r="N46" s="34"/>
      <c r="O46" s="34"/>
    </row>
    <row r="47" spans="1:15" x14ac:dyDescent="0.2">
      <c r="B47" s="34"/>
      <c r="C47" s="34"/>
      <c r="D47" s="34"/>
      <c r="E47" s="34"/>
      <c r="F47" s="34"/>
      <c r="G47" s="34"/>
      <c r="H47" s="34"/>
      <c r="J47" s="34"/>
      <c r="K47" s="34"/>
      <c r="L47" s="34"/>
      <c r="M47" s="34"/>
      <c r="N47" s="34"/>
      <c r="O47" s="34"/>
    </row>
    <row r="48" spans="1:15" x14ac:dyDescent="0.2">
      <c r="B48" s="34"/>
      <c r="C48" s="34"/>
      <c r="D48" s="34"/>
      <c r="E48" s="34"/>
      <c r="F48" s="34"/>
      <c r="G48" s="34"/>
      <c r="H48" s="34"/>
      <c r="J48" s="34"/>
      <c r="K48" s="34"/>
      <c r="L48" s="34"/>
      <c r="M48" s="34"/>
      <c r="N48" s="34"/>
      <c r="O48" s="34"/>
    </row>
    <row r="49" spans="2:15" x14ac:dyDescent="0.2">
      <c r="B49" s="34"/>
      <c r="C49" s="34"/>
      <c r="D49" s="34"/>
      <c r="E49" s="34"/>
      <c r="F49" s="34"/>
      <c r="G49" s="34"/>
      <c r="H49" s="34"/>
      <c r="J49" s="34"/>
      <c r="K49" s="34"/>
      <c r="L49" s="34"/>
      <c r="M49" s="34"/>
      <c r="N49" s="34"/>
      <c r="O49" s="34"/>
    </row>
    <row r="50" spans="2:15" x14ac:dyDescent="0.2">
      <c r="B50" s="34"/>
      <c r="C50" s="34"/>
      <c r="D50" s="34"/>
      <c r="E50" s="34"/>
      <c r="F50" s="34"/>
      <c r="G50" s="34"/>
      <c r="H50" s="34"/>
      <c r="J50" s="34"/>
      <c r="K50" s="34"/>
      <c r="L50" s="34"/>
      <c r="M50" s="34"/>
      <c r="N50" s="34"/>
      <c r="O50" s="34"/>
    </row>
    <row r="51" spans="2:15" x14ac:dyDescent="0.2">
      <c r="B51" s="34"/>
      <c r="C51" s="34"/>
      <c r="D51" s="34"/>
      <c r="E51" s="34"/>
      <c r="F51" s="34"/>
      <c r="G51" s="34"/>
      <c r="H51" s="34"/>
      <c r="J51" s="34"/>
      <c r="K51" s="34"/>
      <c r="L51" s="34"/>
      <c r="M51" s="34"/>
      <c r="N51" s="34"/>
      <c r="O51" s="34"/>
    </row>
    <row r="52" spans="2:15" x14ac:dyDescent="0.2">
      <c r="B52" s="34"/>
      <c r="C52" s="34"/>
      <c r="D52" s="34"/>
      <c r="E52" s="34"/>
      <c r="F52" s="34"/>
      <c r="G52" s="34"/>
      <c r="H52" s="34"/>
      <c r="J52" s="34"/>
      <c r="K52" s="34"/>
      <c r="L52" s="34"/>
      <c r="M52" s="34"/>
      <c r="N52" s="34"/>
      <c r="O52" s="34"/>
    </row>
    <row r="53" spans="2:15" x14ac:dyDescent="0.2">
      <c r="B53" s="34"/>
      <c r="C53" s="34"/>
      <c r="D53" s="34"/>
      <c r="E53" s="34"/>
      <c r="F53" s="34"/>
      <c r="G53" s="34"/>
      <c r="H53" s="34"/>
      <c r="J53" s="34"/>
      <c r="K53" s="34"/>
      <c r="L53" s="34"/>
      <c r="M53" s="34"/>
      <c r="N53" s="34"/>
      <c r="O53" s="34"/>
    </row>
    <row r="54" spans="2:15" x14ac:dyDescent="0.2">
      <c r="B54" s="34"/>
      <c r="C54" s="34"/>
      <c r="D54" s="34"/>
      <c r="E54" s="34"/>
      <c r="F54" s="34"/>
      <c r="G54" s="34"/>
      <c r="H54" s="34"/>
      <c r="J54" s="34"/>
      <c r="K54" s="34"/>
      <c r="L54" s="34"/>
      <c r="M54" s="34"/>
      <c r="N54" s="34"/>
      <c r="O54" s="34"/>
    </row>
    <row r="55" spans="2:15" x14ac:dyDescent="0.2">
      <c r="B55" s="34"/>
      <c r="C55" s="34"/>
      <c r="D55" s="34"/>
      <c r="E55" s="34"/>
      <c r="F55" s="34"/>
      <c r="G55" s="34"/>
      <c r="H55" s="34"/>
      <c r="J55" s="34"/>
      <c r="K55" s="34"/>
      <c r="L55" s="34"/>
      <c r="M55" s="34"/>
      <c r="N55" s="34"/>
      <c r="O55" s="34"/>
    </row>
    <row r="56" spans="2:15" x14ac:dyDescent="0.2">
      <c r="B56" s="34"/>
      <c r="C56" s="34"/>
      <c r="D56" s="34"/>
      <c r="E56" s="34"/>
      <c r="F56" s="34"/>
      <c r="G56" s="34"/>
      <c r="H56" s="34"/>
      <c r="J56" s="34"/>
      <c r="K56" s="34"/>
      <c r="L56" s="34"/>
      <c r="M56" s="34"/>
      <c r="N56" s="34"/>
      <c r="O56" s="34"/>
    </row>
    <row r="57" spans="2:15" x14ac:dyDescent="0.2">
      <c r="B57" s="34"/>
      <c r="C57" s="34"/>
      <c r="D57" s="34"/>
      <c r="E57" s="34"/>
      <c r="F57" s="34"/>
      <c r="G57" s="34"/>
      <c r="H57" s="34"/>
      <c r="J57" s="34"/>
      <c r="K57" s="34"/>
      <c r="L57" s="34"/>
      <c r="M57" s="34"/>
      <c r="N57" s="34"/>
      <c r="O57" s="34"/>
    </row>
    <row r="58" spans="2:15" x14ac:dyDescent="0.2">
      <c r="B58" s="34"/>
      <c r="C58" s="34"/>
      <c r="D58" s="34"/>
      <c r="E58" s="34"/>
      <c r="F58" s="34"/>
      <c r="G58" s="34"/>
      <c r="H58" s="34"/>
      <c r="J58" s="34"/>
      <c r="K58" s="34"/>
      <c r="L58" s="34"/>
      <c r="M58" s="34"/>
      <c r="N58" s="34"/>
      <c r="O58" s="34"/>
    </row>
    <row r="59" spans="2:15" x14ac:dyDescent="0.2">
      <c r="B59" s="34"/>
      <c r="C59" s="34"/>
      <c r="D59" s="34"/>
      <c r="E59" s="34"/>
      <c r="F59" s="34"/>
      <c r="G59" s="34"/>
      <c r="H59" s="34"/>
      <c r="J59" s="34"/>
      <c r="K59" s="34"/>
      <c r="L59" s="34"/>
      <c r="M59" s="34"/>
      <c r="N59" s="34"/>
      <c r="O59" s="34"/>
    </row>
    <row r="60" spans="2:15" x14ac:dyDescent="0.2">
      <c r="B60" s="34"/>
      <c r="C60" s="34"/>
      <c r="D60" s="34"/>
      <c r="E60" s="34"/>
      <c r="F60" s="34"/>
      <c r="G60" s="34"/>
      <c r="H60" s="34"/>
      <c r="J60" s="34"/>
      <c r="K60" s="34"/>
      <c r="L60" s="34"/>
      <c r="M60" s="34"/>
      <c r="N60" s="34"/>
      <c r="O60" s="34"/>
    </row>
    <row r="61" spans="2:15" x14ac:dyDescent="0.2">
      <c r="B61" s="34"/>
      <c r="C61" s="34"/>
      <c r="D61" s="34"/>
      <c r="E61" s="34"/>
      <c r="F61" s="34"/>
      <c r="G61" s="34"/>
      <c r="H61" s="34"/>
      <c r="J61" s="34"/>
      <c r="K61" s="34"/>
      <c r="L61" s="34"/>
      <c r="M61" s="34"/>
      <c r="N61" s="34"/>
      <c r="O61" s="34"/>
    </row>
    <row r="62" spans="2:15" x14ac:dyDescent="0.2">
      <c r="B62" s="34"/>
      <c r="C62" s="34"/>
      <c r="D62" s="34"/>
      <c r="E62" s="34"/>
      <c r="F62" s="34"/>
      <c r="G62" s="34"/>
      <c r="H62" s="34"/>
      <c r="J62" s="34"/>
      <c r="K62" s="34"/>
      <c r="L62" s="34"/>
      <c r="M62" s="34"/>
      <c r="N62" s="34"/>
      <c r="O62" s="34"/>
    </row>
    <row r="63" spans="2:15" x14ac:dyDescent="0.2">
      <c r="B63" s="34"/>
      <c r="C63" s="34"/>
      <c r="D63" s="34"/>
      <c r="E63" s="34"/>
      <c r="F63" s="34"/>
      <c r="G63" s="34"/>
      <c r="H63" s="34"/>
      <c r="J63" s="34"/>
      <c r="K63" s="34"/>
      <c r="L63" s="34"/>
      <c r="M63" s="34"/>
      <c r="N63" s="34"/>
      <c r="O63" s="34"/>
    </row>
    <row r="64" spans="2:15" x14ac:dyDescent="0.2">
      <c r="B64" s="34"/>
      <c r="C64" s="34"/>
      <c r="D64" s="34"/>
      <c r="E64" s="34"/>
      <c r="F64" s="34"/>
      <c r="G64" s="34"/>
      <c r="H64" s="34"/>
      <c r="J64" s="34"/>
      <c r="K64" s="34"/>
      <c r="L64" s="34"/>
      <c r="M64" s="34"/>
      <c r="N64" s="34"/>
      <c r="O64" s="34"/>
    </row>
    <row r="65" spans="2:15" x14ac:dyDescent="0.2">
      <c r="B65" s="34"/>
      <c r="C65" s="34"/>
      <c r="D65" s="34"/>
      <c r="E65" s="34"/>
      <c r="F65" s="34"/>
      <c r="G65" s="34"/>
      <c r="H65" s="34"/>
      <c r="J65" s="34"/>
      <c r="K65" s="34"/>
      <c r="L65" s="34"/>
      <c r="M65" s="34"/>
      <c r="N65" s="34"/>
      <c r="O65" s="34"/>
    </row>
    <row r="66" spans="2:15" x14ac:dyDescent="0.2">
      <c r="B66" s="34"/>
      <c r="C66" s="34"/>
      <c r="D66" s="34"/>
      <c r="E66" s="34"/>
      <c r="F66" s="34"/>
      <c r="G66" s="34"/>
      <c r="H66" s="34"/>
      <c r="J66" s="34"/>
      <c r="K66" s="34"/>
      <c r="L66" s="34"/>
      <c r="M66" s="34"/>
      <c r="N66" s="34"/>
      <c r="O66" s="34"/>
    </row>
    <row r="67" spans="2:15" x14ac:dyDescent="0.2">
      <c r="B67" s="34"/>
      <c r="C67" s="34"/>
      <c r="D67" s="34"/>
      <c r="E67" s="34"/>
      <c r="F67" s="34"/>
      <c r="G67" s="34"/>
      <c r="H67" s="34"/>
      <c r="J67" s="34"/>
      <c r="K67" s="34"/>
      <c r="L67" s="34"/>
      <c r="M67" s="34"/>
      <c r="N67" s="34"/>
      <c r="O67" s="34"/>
    </row>
    <row r="68" spans="2:15" x14ac:dyDescent="0.2">
      <c r="B68" s="34"/>
      <c r="C68" s="34"/>
      <c r="D68" s="34"/>
      <c r="E68" s="34"/>
      <c r="F68" s="34"/>
      <c r="G68" s="34"/>
      <c r="H68" s="34"/>
      <c r="J68" s="34"/>
      <c r="K68" s="34"/>
      <c r="L68" s="34"/>
      <c r="M68" s="34"/>
      <c r="N68" s="34"/>
      <c r="O68" s="34"/>
    </row>
    <row r="69" spans="2:15" x14ac:dyDescent="0.2">
      <c r="B69" s="34"/>
      <c r="C69" s="34"/>
      <c r="D69" s="34"/>
      <c r="E69" s="34"/>
      <c r="F69" s="34"/>
      <c r="G69" s="34"/>
      <c r="H69" s="34"/>
      <c r="J69" s="34"/>
      <c r="K69" s="34"/>
      <c r="L69" s="34"/>
      <c r="M69" s="34"/>
      <c r="N69" s="34"/>
      <c r="O69" s="34"/>
    </row>
    <row r="70" spans="2:15" x14ac:dyDescent="0.2">
      <c r="B70" s="34"/>
      <c r="C70" s="34"/>
      <c r="D70" s="34"/>
      <c r="E70" s="34"/>
      <c r="F70" s="34"/>
      <c r="G70" s="34"/>
      <c r="H70" s="34"/>
      <c r="J70" s="34"/>
      <c r="K70" s="34"/>
      <c r="L70" s="34"/>
      <c r="M70" s="34"/>
      <c r="N70" s="34"/>
      <c r="O70" s="34"/>
    </row>
    <row r="71" spans="2:15" x14ac:dyDescent="0.2">
      <c r="B71" s="34"/>
      <c r="C71" s="34"/>
      <c r="D71" s="34"/>
      <c r="E71" s="34"/>
      <c r="F71" s="34"/>
      <c r="G71" s="34"/>
      <c r="H71" s="34"/>
      <c r="J71" s="34"/>
      <c r="K71" s="34"/>
      <c r="L71" s="34"/>
      <c r="M71" s="34"/>
      <c r="N71" s="34"/>
      <c r="O71" s="34"/>
    </row>
    <row r="72" spans="2:15" x14ac:dyDescent="0.2">
      <c r="B72" s="34"/>
      <c r="C72" s="34"/>
      <c r="D72" s="34"/>
      <c r="E72" s="34"/>
      <c r="F72" s="34"/>
      <c r="G72" s="34"/>
      <c r="H72" s="34"/>
      <c r="J72" s="34"/>
      <c r="K72" s="34"/>
      <c r="L72" s="34"/>
      <c r="M72" s="34"/>
      <c r="N72" s="34"/>
      <c r="O72" s="34"/>
    </row>
  </sheetData>
  <sheetProtection sheet="1" objects="1" scenarios="1"/>
  <phoneticPr fontId="29" type="noConversion"/>
  <dataValidations count="1">
    <dataValidation type="decimal" operator="greaterThan" allowBlank="1" showInputMessage="1" showErrorMessage="1" sqref="B7:D7 B10:D10 B13:D13 B16:D16 B19:D19 B22:D22" xr:uid="{46948B59-B8B0-48BC-AF64-73B7CD0BF5B3}">
      <formula1>0</formula1>
    </dataValidation>
  </dataValidations>
  <pageMargins left="0.5" right="0.5" top="1" bottom="1" header="0.5" footer="0.5"/>
  <pageSetup scale="93" orientation="landscape" r:id="rId1"/>
  <headerFooter alignWithMargins="0"/>
  <rowBreaks count="1" manualBreakCount="1">
    <brk id="40" max="14" man="1"/>
  </rowBreaks>
  <colBreaks count="1" manualBreakCount="1">
    <brk id="19" max="1048575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General Triangle</vt:lpstr>
      <vt:lpstr>Right Triangle</vt:lpstr>
      <vt:lpstr>Oblique Triangle</vt:lpstr>
      <vt:lpstr>'General Triangle'!Print_Area</vt:lpstr>
      <vt:lpstr>'Oblique Triangle'!Print_Area</vt:lpstr>
      <vt:lpstr>'Right Triangle'!Print_Area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"TRIANGLE" Program</dc:title>
  <dc:creator>Alex Tomanovich, P.E. - 151 Shadow Lane, Lyman SC 29365 - Home: 864-968-2699 - Email: ATomanovich@bellsouth.net</dc:creator>
  <dc:description>Triangle solutions</dc:description>
  <cp:lastModifiedBy>Brandon Smith</cp:lastModifiedBy>
  <cp:lastPrinted>2004-07-12T19:49:15Z</cp:lastPrinted>
  <dcterms:created xsi:type="dcterms:W3CDTF">2004-07-01T21:02:19Z</dcterms:created>
  <dcterms:modified xsi:type="dcterms:W3CDTF">2026-06-02T15:13:03Z</dcterms:modified>
  <cp:category>Structural Engineering Analysis/Design</cp:category>
</cp:coreProperties>
</file>